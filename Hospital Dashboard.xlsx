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jpeg" ContentType="image/jpeg"/>
  <Default Extension="rels" ContentType="application/vnd.openxmlformats-package.relationships+xml"/>
  <Default Extension="xml" ContentType="application/xml"/>
  <Default Extension="data" ContentType="application/vnd.openxmlformats-officedocument.model+data"/>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slicers/slicer2.xml" ContentType="application/vnd.ms-excel.slicer+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DELL\OneDrive\Documents\"/>
    </mc:Choice>
  </mc:AlternateContent>
  <bookViews>
    <workbookView xWindow="0" yWindow="0" windowWidth="19200" windowHeight="6930" firstSheet="1" activeTab="4"/>
  </bookViews>
  <sheets>
    <sheet name="Pivot Report" sheetId="9" r:id="rId1"/>
    <sheet name="Daily ER No of Patients" sheetId="13" r:id="rId2"/>
    <sheet name="Avg Wait Time Daily Trend" sheetId="12" r:id="rId3"/>
    <sheet name="Satisfaction Score" sheetId="14" r:id="rId4"/>
    <sheet name="DashBoard" sheetId="16" r:id="rId5"/>
  </sheets>
  <definedNames>
    <definedName name="Slicer_Date__Month">#N/A</definedName>
    <definedName name="Slicer_Date__Year">#N/A</definedName>
  </definedNames>
  <calcPr calcId="162913"/>
  <pivotCaches>
    <pivotCache cacheId="211" r:id="rId6"/>
    <pivotCache cacheId="232" r:id="rId7"/>
    <pivotCache cacheId="235" r:id="rId8"/>
    <pivotCache cacheId="250" r:id="rId9"/>
    <pivotCache cacheId="253" r:id="rId10"/>
    <pivotCache cacheId="256" r:id="rId11"/>
    <pivotCache cacheId="259" r:id="rId12"/>
    <pivotCache cacheId="262" r:id="rId13"/>
    <pivotCache cacheId="265" r:id="rId14"/>
    <pivotCache cacheId="268" r:id="rId15"/>
    <pivotCache cacheId="271" r:id="rId16"/>
    <pivotCache cacheId="274" r:id="rId17"/>
    <pivotCache cacheId="277" r:id="rId18"/>
    <pivotCache cacheId="280" r:id="rId19"/>
    <pivotCache cacheId="283" r:id="rId20"/>
    <pivotCache cacheId="286" r:id="rId21"/>
  </pivotCaches>
  <extLst>
    <ext xmlns:x14="http://schemas.microsoft.com/office/spreadsheetml/2009/9/main" uri="{876F7934-8845-4945-9796-88D515C7AA90}">
      <x14:pivotCaches>
        <pivotCache cacheId="16" r:id="rId22"/>
      </x14:pivotCaches>
    </ext>
    <ext xmlns:x14="http://schemas.microsoft.com/office/spreadsheetml/2009/9/main" uri="{BBE1A952-AA13-448e-AADC-164F8A28A991}">
      <x14:slicerCaches>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lendar_Table_6e2b1d42-3341-4ef9-8374-b1f59275c543" name="Calendar_Table" connection="Query - Calendar_Table"/>
          <x15:modelTable id="Hospital Emergency Room Data_33ce680d-4002-45a7-8bc1-c9cd0f087150" name="Hospital Emergency Room Data" connection="Query - Hospital Emergency Room Data"/>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Lst>
</workbook>
</file>

<file path=xl/calcChain.xml><?xml version="1.0" encoding="utf-8"?>
<calcChain xmlns="http://schemas.openxmlformats.org/spreadsheetml/2006/main">
  <c r="AG20" i="9" l="1"/>
  <c r="AG19" i="9"/>
  <c r="AI20" i="9"/>
  <c r="AI19" i="9"/>
  <c r="AH20" i="9"/>
  <c r="AH19" i="9"/>
</calcChain>
</file>

<file path=xl/connections.xml><?xml version="1.0" encoding="utf-8"?>
<connections xmlns="http://schemas.openxmlformats.org/spreadsheetml/2006/main">
  <connection id="1" name="Query - Calendar_Table" description="Connection to the 'Calendar_Table' query in the workbook." type="100" refreshedVersion="6" minRefreshableVersion="5" saveData="1">
    <extLst>
      <ext xmlns:x15="http://schemas.microsoft.com/office/spreadsheetml/2010/11/main" uri="{DE250136-89BD-433C-8126-D09CA5730AF9}">
        <x15:connection id="039099c2-7b7a-4ce3-ad07-50d14a7970f4"/>
      </ext>
    </extLst>
  </connection>
  <connection id="2" name="Query - Hospital Emergency Room Data" description="Connection to the 'Hospital Emergency Room Data' query in the workbook." type="100" refreshedVersion="6" minRefreshableVersion="5" saveData="1">
    <extLst>
      <ext xmlns:x15="http://schemas.microsoft.com/office/spreadsheetml/2010/11/main" uri="{DE250136-89BD-433C-8126-D09CA5730AF9}">
        <x15:connection id="127b16ae-18a5-473d-881a-4f39445d5bb0"/>
      </ext>
    </extLst>
  </connection>
  <connection id="3" keepAlive="1" name="ThisWorkbookDataModel" description="Data Model" type="5" refreshedVersion="6"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<sst xmlns="http://schemas.openxmlformats.org/spreadsheetml/2006/main" count="181" uniqueCount="74">
  <si>
    <t>Row Labels</t>
  </si>
  <si>
    <t>Grand Total</t>
  </si>
  <si>
    <t>Distinct Count of Patient Id</t>
  </si>
  <si>
    <t>no of patient</t>
  </si>
  <si>
    <t>Average of Patient Waittime</t>
  </si>
  <si>
    <t>Average of Patient Satisfaction Score</t>
  </si>
  <si>
    <t>1-Jan</t>
  </si>
  <si>
    <t>2-Jan</t>
  </si>
  <si>
    <t>3-Jan</t>
  </si>
  <si>
    <t>4-Jan</t>
  </si>
  <si>
    <t>5-Jan</t>
  </si>
  <si>
    <t>6-Jan</t>
  </si>
  <si>
    <t>7-Jan</t>
  </si>
  <si>
    <t>8-Jan</t>
  </si>
  <si>
    <t>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</si>
  <si>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</si>
  <si>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</si>
  <si>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</si>
  <si>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</si>
  <si>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</si>
  <si>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</si>
  <si>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</si>
  <si>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</si>
  <si>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</si>
  <si>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</si>
  <si>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</si>
  <si>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</si>
  <si>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</si>
  <si>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</si>
  <si>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</si>
  <si>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</si>
  <si>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</si>
  <si>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</si>
  <si>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</si>
  <si>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</si>
  <si>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</si>
  <si>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</si>
  <si>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avg wait time</t>
  </si>
  <si>
    <t>Delay</t>
  </si>
  <si>
    <t>On Time</t>
  </si>
  <si>
    <t>Admitted</t>
  </si>
  <si>
    <t>Not Admitted</t>
  </si>
  <si>
    <t>Count of Patient Admission Flag</t>
  </si>
  <si>
    <t>Count of Patient Admission Flag2</t>
  </si>
  <si>
    <t>No. of Patient</t>
  </si>
  <si>
    <t>% Status</t>
  </si>
  <si>
    <t>Admission Status</t>
  </si>
  <si>
    <t>0-09</t>
  </si>
  <si>
    <t>10-19</t>
  </si>
  <si>
    <t>20-29</t>
  </si>
  <si>
    <t>30-39</t>
  </si>
  <si>
    <t>40-49</t>
  </si>
  <si>
    <t>50-59</t>
  </si>
  <si>
    <t>60-69</t>
  </si>
  <si>
    <t>70-79</t>
  </si>
  <si>
    <t>Count of Age Group</t>
  </si>
  <si>
    <t>Count of Patient Id</t>
  </si>
  <si>
    <t>Patient Attend Stauts</t>
  </si>
  <si>
    <t>Female</t>
  </si>
  <si>
    <t>Male</t>
  </si>
  <si>
    <t>Count of Patient Gender</t>
  </si>
  <si>
    <t>Count of Patient Attend Status</t>
  </si>
  <si>
    <t>None</t>
  </si>
  <si>
    <t>General Practice</t>
  </si>
  <si>
    <t>Orthopedics</t>
  </si>
  <si>
    <t>Physiotherapy</t>
  </si>
  <si>
    <t>Cardiology</t>
  </si>
  <si>
    <t>Renal</t>
  </si>
  <si>
    <t>Gastroenterology</t>
  </si>
  <si>
    <t>Neurology</t>
  </si>
  <si>
    <t>gender wise analysis</t>
  </si>
  <si>
    <t>Count of Department Referral</t>
  </si>
  <si>
    <t>2023</t>
  </si>
  <si>
    <t>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</si>
</sst>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1"/>
      <color theme="1"/>
      <name val="Calibri"/>
      <family val="2"/>
      <scheme val="minor"/>
    </font>
    <font>
      <sz val="11"/>
      <color theme="0"/>
      <name val="Calibri"/>
      <family val="2"/>
      <scheme val="minor"/>
    </font>
    <font>
      <sz val="12"/>
      <color theme="1"/>
      <name val="Calibri"/>
      <family val="2"/>
      <scheme val="minor"/>
    </font>
    <font>
      <sz val="10"/>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4" tint="-0.499984740745262"/>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NumberFormat="1"/>
    <xf numFmtId="0" fontId="0" fillId="0" borderId="0" xfId="0" pivotButton="1"/>
    <xf numFmtId="0" fontId="0" fillId="0" borderId="0" xfId="0" applyAlignment="1">
      <alignment horizontal="left"/>
    </xf>
    <xf numFmtId="2" fontId="0" fillId="0" borderId="0" xfId="0" applyNumberFormat="1"/>
    <xf numFmtId="0" fontId="0" fillId="2" borderId="0" xfId="0" applyFill="1"/>
    <xf numFmtId="0" fontId="0" fillId="0" borderId="0" xfId="0" applyFill="1"/>
    <xf numFmtId="0" fontId="2" fillId="0" borderId="0" xfId="0" applyFont="1" applyFill="1"/>
    <xf numFmtId="10" fontId="0" fillId="0" borderId="0" xfId="0" applyNumberFormat="1"/>
    <xf numFmtId="0" fontId="0" fillId="3" borderId="0" xfId="0" applyFill="1" applyAlignment="1">
      <alignment horizontal="center"/>
    </xf>
    <xf numFmtId="0" fontId="3" fillId="3" borderId="0" xfId="0" applyFont="1" applyFill="1" applyAlignment="1">
      <alignment horizontal="center"/>
    </xf>
    <xf numFmtId="10" fontId="3" fillId="3" borderId="0" xfId="0" applyNumberFormat="1" applyFont="1" applyFill="1" applyAlignment="1">
      <alignment horizontal="center"/>
    </xf>
    <xf numFmtId="0" fontId="1" fillId="4" borderId="0" xfId="0" applyFont="1" applyFill="1" applyAlignment="1">
      <alignment horizontal="center" vertical="center"/>
    </xf>
    <xf numFmtId="0" fontId="0" fillId="4" borderId="0" xfId="0" applyFill="1"/>
  </cellXfs>
  <cellStyles count="1">
    <cellStyle name="Normal" xfId="0" builtinId="0"/>
  </cellStyles>
  <dxfs count="30">
    <dxf>
      <numFmt numFmtId="2" formatCode="0.00"/>
    </dxf>
    <dxf>
      <numFmt numFmtId="168" formatCode="0.000"/>
    </dxf>
    <dxf>
      <numFmt numFmtId="167" formatCode="0.0000"/>
    </dxf>
    <dxf>
      <numFmt numFmtId="166" formatCode="0.00000"/>
    </dxf>
    <dxf>
      <numFmt numFmtId="165" formatCode="0.000000"/>
    </dxf>
    <dxf>
      <numFmt numFmtId="164" formatCode="0.0000000"/>
    </dxf>
    <dxf>
      <numFmt numFmtId="2" formatCode="0.00"/>
    </dxf>
    <dxf>
      <numFmt numFmtId="169" formatCode="0.0"/>
    </dxf>
    <dxf>
      <numFmt numFmtId="2" formatCode="0.00"/>
    </dxf>
    <dxf>
      <numFmt numFmtId="168" formatCode="0.000"/>
    </dxf>
    <dxf>
      <numFmt numFmtId="167" formatCode="0.0000"/>
    </dxf>
    <dxf>
      <numFmt numFmtId="166" formatCode="0.00000"/>
    </dxf>
    <dxf>
      <numFmt numFmtId="165" formatCode="0.000000"/>
    </dxf>
    <dxf>
      <numFmt numFmtId="164" formatCode="0.0000000"/>
    </dxf>
    <dxf>
      <numFmt numFmtId="2" formatCode="0.00"/>
    </dxf>
    <dxf>
      <numFmt numFmtId="168" formatCode="0.000"/>
    </dxf>
    <dxf>
      <numFmt numFmtId="167" formatCode="0.0000"/>
    </dxf>
    <dxf>
      <numFmt numFmtId="166" formatCode="0.00000"/>
    </dxf>
    <dxf>
      <numFmt numFmtId="165" formatCode="0.000000"/>
    </dxf>
    <dxf>
      <numFmt numFmtId="164" formatCode="0.0000000"/>
    </dxf>
    <dxf>
      <numFmt numFmtId="2" formatCode="0.00"/>
    </dxf>
    <dxf>
      <numFmt numFmtId="169" formatCode="0.0"/>
    </dxf>
    <dxf>
      <numFmt numFmtId="2" formatCode="0.00"/>
    </dxf>
    <dxf>
      <numFmt numFmtId="168" formatCode="0.000"/>
    </dxf>
    <dxf>
      <numFmt numFmtId="167" formatCode="0.0000"/>
    </dxf>
    <dxf>
      <numFmt numFmtId="166" formatCode="0.00000"/>
    </dxf>
    <dxf>
      <numFmt numFmtId="165" formatCode="0.000000"/>
    </dxf>
    <dxf>
      <numFmt numFmtId="164" formatCode="0.0000000"/>
    </dxf>
    <dxf>
      <font>
        <b/>
        <color theme="1"/>
      </font>
      <border>
        <bottom style="thin">
          <color theme="4"/>
        </bottom>
        <vertical/>
        <horizontal/>
      </border>
    </dxf>
    <dxf>
      <font>
        <color theme="1"/>
      </font>
      <fill>
        <patternFill patternType="none">
          <bgColor auto="1"/>
        </patternFill>
      </fill>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My Style" pivot="0" table="0" count="10">
      <tableStyleElement type="wholeTable" dxfId="29"/>
      <tableStyleElement type="headerRow" dxfId="2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connections" Target="connections.xml"/><Relationship Id="rId39" Type="http://schemas.openxmlformats.org/officeDocument/2006/relationships/customXml" Target="../customXml/item9.xml"/><Relationship Id="rId21" Type="http://schemas.openxmlformats.org/officeDocument/2006/relationships/pivotCacheDefinition" Target="pivotCache/pivotCacheDefinition16.xml"/><Relationship Id="rId34" Type="http://schemas.openxmlformats.org/officeDocument/2006/relationships/customXml" Target="../customXml/item4.xml"/><Relationship Id="rId42" Type="http://schemas.openxmlformats.org/officeDocument/2006/relationships/customXml" Target="../customXml/item12.xml"/><Relationship Id="rId47" Type="http://schemas.openxmlformats.org/officeDocument/2006/relationships/customXml" Target="../customXml/item17.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powerPivotData" Target="model/item.data"/><Relationship Id="rId11" Type="http://schemas.openxmlformats.org/officeDocument/2006/relationships/pivotCacheDefinition" Target="pivotCache/pivotCacheDefinition6.xml"/><Relationship Id="rId24" Type="http://schemas.microsoft.com/office/2007/relationships/slicerCache" Target="slicerCaches/slicerCache2.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microsoft.com/office/2007/relationships/slicerCache" Target="slicerCaches/slicerCache1.xml"/><Relationship Id="rId28" Type="http://schemas.openxmlformats.org/officeDocument/2006/relationships/sharedStrings" Target="sharedStrings.xml"/><Relationship Id="rId36" Type="http://schemas.openxmlformats.org/officeDocument/2006/relationships/customXml" Target="../customXml/item6.xml"/><Relationship Id="rId49" Type="http://schemas.openxmlformats.org/officeDocument/2006/relationships/customXml" Target="../customXml/item19.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customXml" Target="../customXml/item1.xml"/><Relationship Id="rId44"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styles" Target="styles.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20" Type="http://schemas.openxmlformats.org/officeDocument/2006/relationships/pivotCacheDefinition" Target="pivotCache/pivotCacheDefinition15.xml"/><Relationship Id="rId41"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Report!PivotTable8</c:name>
    <c:fmtId val="0"/>
  </c:pivotSource>
  <c:chart>
    <c:autoTitleDeleted val="1"/>
    <c:pivotFmts>
      <c:pivotFmt>
        <c:idx val="0"/>
        <c:spPr>
          <a:solidFill>
            <a:schemeClr val="accent1"/>
          </a:solidFill>
          <a:ln w="25400">
            <a:noFill/>
          </a:ln>
          <a:effectLst/>
        </c:spPr>
        <c:marker>
          <c:symbol val="none"/>
        </c:marker>
      </c:pivotFmt>
    </c:pivotFmts>
    <c:plotArea>
      <c:layout>
        <c:manualLayout>
          <c:layoutTarget val="inner"/>
          <c:xMode val="edge"/>
          <c:yMode val="edge"/>
          <c:x val="2.3323615160349854E-2"/>
          <c:y val="0.10526307857960397"/>
          <c:w val="0.91448007774538387"/>
          <c:h val="0.5502561502044605"/>
        </c:manualLayout>
      </c:layout>
      <c:areaChart>
        <c:grouping val="standard"/>
        <c:varyColors val="0"/>
        <c:ser>
          <c:idx val="0"/>
          <c:order val="0"/>
          <c:tx>
            <c:strRef>
              <c:f>'Pivot Report'!$D$3</c:f>
              <c:strCache>
                <c:ptCount val="1"/>
                <c:pt idx="0">
                  <c:v>Total</c:v>
                </c:pt>
              </c:strCache>
            </c:strRef>
          </c:tx>
          <c:spPr>
            <a:solidFill>
              <a:schemeClr val="accent1"/>
            </a:solidFill>
            <a:ln w="25400">
              <a:noFill/>
            </a:ln>
            <a:effectLst/>
          </c:spPr>
          <c:cat>
            <c:strRef>
              <c:f>'Pivot Report'!$C$4:$C$35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Report'!$D$4:$D$35</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0-8ED0-453D-91C3-CA4565C2134D}"/>
            </c:ext>
          </c:extLst>
        </c:ser>
        <c:dLbls>
          <c:showLegendKey val="0"/>
          <c:showVal val="0"/>
          <c:showCatName val="0"/>
          <c:showSerName val="0"/>
          <c:showPercent val="0"/>
          <c:showBubbleSize val="0"/>
        </c:dLbls>
        <c:axId val="1812017248"/>
        <c:axId val="1812031392"/>
      </c:areaChart>
      <c:catAx>
        <c:axId val="18120172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2031392"/>
        <c:crosses val="autoZero"/>
        <c:auto val="1"/>
        <c:lblAlgn val="ctr"/>
        <c:lblOffset val="100"/>
        <c:noMultiLvlLbl val="0"/>
      </c:catAx>
      <c:valAx>
        <c:axId val="1812031392"/>
        <c:scaling>
          <c:orientation val="minMax"/>
        </c:scaling>
        <c:delete val="1"/>
        <c:axPos val="l"/>
        <c:numFmt formatCode="General" sourceLinked="1"/>
        <c:majorTickMark val="none"/>
        <c:minorTickMark val="none"/>
        <c:tickLblPos val="nextTo"/>
        <c:crossAx val="1812017248"/>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c:name>
    <c:fmtId val="14"/>
  </c:pivotSource>
  <c:chart>
    <c:autoTitleDeleted val="1"/>
    <c:pivotFmts>
      <c:pivotFmt>
        <c:idx val="0"/>
        <c:spPr>
          <a:solidFill>
            <a:schemeClr val="accent1"/>
          </a:solidFill>
          <a:ln w="25400">
            <a:noFill/>
          </a:ln>
          <a:effectLst/>
        </c:spPr>
        <c:marker>
          <c:symbol val="none"/>
        </c:marker>
      </c:pivotFmt>
    </c:pivotFmts>
    <c:plotArea>
      <c:layout/>
      <c:areaChart>
        <c:grouping val="standard"/>
        <c:varyColors val="0"/>
        <c:ser>
          <c:idx val="0"/>
          <c:order val="0"/>
          <c:tx>
            <c:strRef>
              <c:f>'Pivot Report'!$O$3</c:f>
              <c:strCache>
                <c:ptCount val="1"/>
                <c:pt idx="0">
                  <c:v>Total</c:v>
                </c:pt>
              </c:strCache>
            </c:strRef>
          </c:tx>
          <c:spPr>
            <a:solidFill>
              <a:schemeClr val="accent1"/>
            </a:solidFill>
            <a:ln w="25400">
              <a:noFill/>
            </a:ln>
            <a:effectLst/>
          </c:spPr>
          <c:cat>
            <c:strRef>
              <c:f>'Pivot Report'!$N$4:$N$35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Report'!$O$4:$O$35</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0-0CB5-4E1B-B90F-C7AE9EA9927C}"/>
            </c:ext>
          </c:extLst>
        </c:ser>
        <c:dLbls>
          <c:showLegendKey val="0"/>
          <c:showVal val="0"/>
          <c:showCatName val="0"/>
          <c:showSerName val="0"/>
          <c:showPercent val="0"/>
          <c:showBubbleSize val="0"/>
        </c:dLbls>
        <c:axId val="1194820815"/>
        <c:axId val="1194825807"/>
      </c:areaChart>
      <c:catAx>
        <c:axId val="1194820815"/>
        <c:scaling>
          <c:orientation val="minMax"/>
        </c:scaling>
        <c:delete val="1"/>
        <c:axPos val="b"/>
        <c:numFmt formatCode="General" sourceLinked="1"/>
        <c:majorTickMark val="out"/>
        <c:minorTickMark val="none"/>
        <c:tickLblPos val="nextTo"/>
        <c:crossAx val="1194825807"/>
        <c:crosses val="autoZero"/>
        <c:auto val="1"/>
        <c:lblAlgn val="ctr"/>
        <c:lblOffset val="100"/>
        <c:noMultiLvlLbl val="0"/>
      </c:catAx>
      <c:valAx>
        <c:axId val="1194825807"/>
        <c:scaling>
          <c:orientation val="minMax"/>
        </c:scaling>
        <c:delete val="1"/>
        <c:axPos val="l"/>
        <c:numFmt formatCode="0.00" sourceLinked="1"/>
        <c:majorTickMark val="none"/>
        <c:minorTickMark val="none"/>
        <c:tickLblPos val="nextTo"/>
        <c:crossAx val="1194820815"/>
        <c:crosses val="autoZero"/>
        <c:crossBetween val="midCat"/>
      </c:valAx>
      <c:spPr>
        <a:noFill/>
        <a:ln w="25400">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Report!PivotTable2</c:name>
    <c:fmtId val="20"/>
  </c:pivotSource>
  <c:chart>
    <c:autoTitleDeleted val="1"/>
    <c:pivotFmts>
      <c:pivotFmt>
        <c:idx val="0"/>
        <c:spPr>
          <a:solidFill>
            <a:schemeClr val="accent1"/>
          </a:solidFill>
          <a:ln w="25400">
            <a:noFill/>
          </a:ln>
          <a:effectLst/>
        </c:spPr>
        <c:marker>
          <c:symbol val="none"/>
        </c:marker>
      </c:pivotFmt>
    </c:pivotFmts>
    <c:plotArea>
      <c:layout/>
      <c:areaChart>
        <c:grouping val="standard"/>
        <c:varyColors val="0"/>
        <c:ser>
          <c:idx val="0"/>
          <c:order val="0"/>
          <c:tx>
            <c:strRef>
              <c:f>'Pivot Report'!$S$3</c:f>
              <c:strCache>
                <c:ptCount val="1"/>
                <c:pt idx="0">
                  <c:v>Total</c:v>
                </c:pt>
              </c:strCache>
            </c:strRef>
          </c:tx>
          <c:spPr>
            <a:solidFill>
              <a:schemeClr val="accent1"/>
            </a:solidFill>
            <a:ln w="25400">
              <a:noFill/>
            </a:ln>
            <a:effectLst/>
          </c:spPr>
          <c:cat>
            <c:strRef>
              <c:f>'Pivot Report'!$R$4:$R$35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Report'!$S$4:$S$35</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0-0A9B-4083-BD9D-9CF6E44FAA7B}"/>
            </c:ext>
          </c:extLst>
        </c:ser>
        <c:dLbls>
          <c:showLegendKey val="0"/>
          <c:showVal val="0"/>
          <c:showCatName val="0"/>
          <c:showSerName val="0"/>
          <c:showPercent val="0"/>
          <c:showBubbleSize val="0"/>
        </c:dLbls>
        <c:axId val="1106320847"/>
        <c:axId val="1106327503"/>
      </c:areaChart>
      <c:catAx>
        <c:axId val="1106320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6327503"/>
        <c:crosses val="autoZero"/>
        <c:auto val="1"/>
        <c:lblAlgn val="ctr"/>
        <c:lblOffset val="100"/>
        <c:noMultiLvlLbl val="0"/>
      </c:catAx>
      <c:valAx>
        <c:axId val="1106327503"/>
        <c:scaling>
          <c:orientation val="minMax"/>
        </c:scaling>
        <c:delete val="1"/>
        <c:axPos val="l"/>
        <c:numFmt formatCode="0.00" sourceLinked="1"/>
        <c:majorTickMark val="none"/>
        <c:minorTickMark val="none"/>
        <c:tickLblPos val="nextTo"/>
        <c:crossAx val="1106320847"/>
        <c:crosses val="autoZero"/>
        <c:crossBetween val="midCat"/>
      </c:valAx>
      <c:spPr>
        <a:noFill/>
        <a:ln>
          <a:noFill/>
        </a:ln>
        <a:effectLst/>
      </c:spPr>
    </c:plotArea>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Report!PivotTable3</c:name>
    <c:fmtId val="0"/>
  </c:pivotSource>
  <c:chart>
    <c:autoTitleDeleted val="0"/>
    <c:pivotFmts>
      <c:pivotFmt>
        <c:idx val="0"/>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5">
              <a:lumMod val="50000"/>
            </a:schemeClr>
          </a:solidFill>
          <a:ln>
            <a:noFill/>
          </a:ln>
          <a:effectLst/>
        </c:spPr>
        <c:marker>
          <c:symbol val="none"/>
        </c:marker>
        <c:dLbl>
          <c:idx val="0"/>
          <c:delete val="1"/>
          <c:extLst>
            <c:ext xmlns:c15="http://schemas.microsoft.com/office/drawing/2012/chart" uri="{CE6537A1-D6FC-4f65-9D91-7224C49458BB}">
              <c15:spPr xmlns:c15="http://schemas.microsoft.com/office/drawing/2012/chart">
                <a:prstGeom prst="rect">
                  <a:avLst/>
                </a:prstGeom>
              </c15:spPr>
            </c:ext>
          </c:extLst>
        </c:dLbl>
      </c:pivotFmt>
      <c:pivotFmt>
        <c:idx val="3"/>
        <c:spPr>
          <a:solidFill>
            <a:schemeClr val="accent2"/>
          </a:solidFill>
          <a:ln>
            <a:noFill/>
          </a:ln>
          <a:effectLst/>
        </c:spPr>
        <c:marker>
          <c:symbol val="none"/>
        </c:marker>
      </c:pivotFmt>
      <c:pivotFmt>
        <c:idx val="4"/>
        <c:spPr>
          <a:solidFill>
            <a:schemeClr val="accent5">
              <a:lumMod val="50000"/>
            </a:schemeClr>
          </a:solidFill>
          <a:ln>
            <a:noFill/>
          </a:ln>
          <a:effectLst/>
        </c:spPr>
        <c:dLbl>
          <c:idx val="0"/>
          <c:layout/>
          <c:tx>
            <c:rich>
              <a:bodyPr rot="0" spcFirstLastPara="1" vertOverflow="ellipsis" vert="horz" wrap="none" lIns="38100" tIns="19050" rIns="38100" bIns="19050" anchor="ctr" anchorCtr="1">
                <a:spAutoFit/>
              </a:bodyPr>
              <a:lstStyle/>
              <a:p>
                <a:pPr>
                  <a:defRPr sz="700" b="0" i="0" u="none" strike="noStrike" kern="1200" baseline="0">
                    <a:solidFill>
                      <a:schemeClr val="tx1"/>
                    </a:solidFill>
                    <a:latin typeface="+mn-lt"/>
                    <a:ea typeface="+mn-ea"/>
                    <a:cs typeface="+mn-cs"/>
                  </a:defRPr>
                </a:pPr>
                <a:fld id="{079801D4-5DCC-499B-8ADA-15CA10A06221}" type="CELLRANGE">
                  <a:rPr lang="en-US"/>
                  <a:pPr>
                    <a:defRPr sz="700" b="0" i="0" u="none" strike="noStrike" kern="1200" baseline="0">
                      <a:solidFill>
                        <a:schemeClr val="tx1"/>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15:dlblFieldTable/>
              <c15:showDataLabelsRange val="1"/>
            </c:ext>
          </c:extLst>
        </c:dLbl>
      </c:pivotFmt>
      <c:pivotFmt>
        <c:idx val="5"/>
        <c:spPr>
          <a:solidFill>
            <a:schemeClr val="accent5">
              <a:lumMod val="50000"/>
            </a:schemeClr>
          </a:solidFill>
          <a:ln>
            <a:noFill/>
          </a:ln>
          <a:effectLst/>
        </c:spPr>
        <c:dLbl>
          <c:idx val="0"/>
          <c:layout/>
          <c:tx>
            <c:rich>
              <a:bodyPr rot="0" spcFirstLastPara="1" vertOverflow="ellipsis" vert="horz" wrap="none" lIns="38100" tIns="19050" rIns="38100" bIns="19050" anchor="ctr" anchorCtr="1">
                <a:spAutoFit/>
              </a:bodyPr>
              <a:lstStyle/>
              <a:p>
                <a:pPr>
                  <a:defRPr sz="700" b="0" i="0" u="none" strike="noStrike" kern="1200" baseline="0">
                    <a:solidFill>
                      <a:schemeClr val="tx1"/>
                    </a:solidFill>
                    <a:latin typeface="+mn-lt"/>
                    <a:ea typeface="+mn-ea"/>
                    <a:cs typeface="+mn-cs"/>
                  </a:defRPr>
                </a:pPr>
                <a:fld id="{0F9DE731-B971-44E2-AF0E-50BECD82BDAC}" type="CELLRANGE">
                  <a:rPr lang="en-US"/>
                  <a:pPr>
                    <a:defRPr sz="700" b="0" i="0" u="none" strike="noStrike" kern="1200" baseline="0">
                      <a:solidFill>
                        <a:schemeClr val="tx1"/>
                      </a:solidFill>
                      <a:latin typeface="+mn-lt"/>
                      <a:ea typeface="+mn-ea"/>
                      <a:cs typeface="+mn-cs"/>
                    </a:defRPr>
                  </a:pPr>
                  <a:t>[CELLRANGE]</a:t>
                </a:fld>
                <a:endParaRPr lang="en-IN"/>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layout/>
              <c15:dlblFieldTable/>
              <c15:showDataLabelsRange val="1"/>
            </c:ext>
          </c:extLst>
        </c:dLbl>
      </c:pivotFmt>
    </c:pivotFmts>
    <c:plotArea>
      <c:layout>
        <c:manualLayout>
          <c:layoutTarget val="inner"/>
          <c:xMode val="edge"/>
          <c:yMode val="edge"/>
          <c:x val="0.26724628678955736"/>
          <c:y val="5.0925925925925923E-2"/>
          <c:w val="0.57119720830350751"/>
          <c:h val="0.5926389646838699"/>
        </c:manualLayout>
      </c:layout>
      <c:barChart>
        <c:barDir val="bar"/>
        <c:grouping val="clustered"/>
        <c:varyColors val="0"/>
        <c:ser>
          <c:idx val="0"/>
          <c:order val="0"/>
          <c:tx>
            <c:strRef>
              <c:f>'Pivot Report'!$AI$8:$AI$9</c:f>
              <c:strCache>
                <c:ptCount val="1"/>
                <c:pt idx="0">
                  <c:v>Count of Patient Admission Flag</c:v>
                </c:pt>
              </c:strCache>
            </c:strRef>
          </c:tx>
          <c:spPr>
            <a:solidFill>
              <a:schemeClr val="accent5">
                <a:lumMod val="50000"/>
              </a:schemeClr>
            </a:solidFill>
            <a:ln>
              <a:noFill/>
            </a:ln>
            <a:effectLst/>
          </c:spPr>
          <c:invertIfNegative val="0"/>
          <c:dPt>
            <c:idx val="0"/>
            <c:invertIfNegative val="0"/>
            <c:bubble3D val="0"/>
            <c:extLst>
              <c:ext xmlns:c16="http://schemas.microsoft.com/office/drawing/2014/chart" uri="{C3380CC4-5D6E-409C-BE32-E72D297353CC}">
                <c16:uniqueId val="{00000003-0118-40D6-9800-A9843E4553B6}"/>
              </c:ext>
            </c:extLst>
          </c:dPt>
          <c:dPt>
            <c:idx val="1"/>
            <c:invertIfNegative val="0"/>
            <c:bubble3D val="0"/>
            <c:extLst>
              <c:ext xmlns:c16="http://schemas.microsoft.com/office/drawing/2014/chart" uri="{C3380CC4-5D6E-409C-BE32-E72D297353CC}">
                <c16:uniqueId val="{00000002-0118-40D6-9800-A9843E4553B6}"/>
              </c:ext>
            </c:extLst>
          </c:dPt>
          <c:dLbls>
            <c:dLbl>
              <c:idx val="0"/>
              <c:layout/>
              <c:tx>
                <c:rich>
                  <a:bodyPr/>
                  <a:lstStyle/>
                  <a:p>
                    <a:fld id="{0F9DE731-B971-44E2-AF0E-50BECD82BDAC}"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layout/>
                  <c15:dlblFieldTable/>
                  <c15:showDataLabelsRange val="1"/>
                </c:ext>
                <c:ext xmlns:c16="http://schemas.microsoft.com/office/drawing/2014/chart" uri="{C3380CC4-5D6E-409C-BE32-E72D297353CC}">
                  <c16:uniqueId val="{00000003-0118-40D6-9800-A9843E4553B6}"/>
                </c:ext>
              </c:extLst>
            </c:dLbl>
            <c:dLbl>
              <c:idx val="1"/>
              <c:layout/>
              <c:tx>
                <c:rich>
                  <a:bodyPr/>
                  <a:lstStyle/>
                  <a:p>
                    <a:fld id="{079801D4-5DCC-499B-8ADA-15CA10A06221}" type="CELLRANGE">
                      <a:rPr lang="en-US"/>
                      <a:pPr/>
                      <a:t>[CELLRANGE]</a:t>
                    </a:fld>
                    <a:endParaRPr lang="en-IN"/>
                  </a:p>
                </c:rich>
              </c:tx>
              <c:dLblPos val="outEnd"/>
              <c:showLegendKey val="0"/>
              <c:showVal val="0"/>
              <c:showCatName val="0"/>
              <c:showSerName val="0"/>
              <c:showPercent val="0"/>
              <c:showBubbleSize val="0"/>
              <c:extLst>
                <c:ext xmlns:c15="http://schemas.microsoft.com/office/drawing/2012/chart" uri="{CE6537A1-D6FC-4f65-9D91-7224C49458BB}">
                  <c15:layout/>
                  <c15:dlblFieldTable/>
                  <c15:showDataLabelsRange val="1"/>
                </c:ext>
                <c:ext xmlns:c16="http://schemas.microsoft.com/office/drawing/2014/chart" uri="{C3380CC4-5D6E-409C-BE32-E72D297353CC}">
                  <c16:uniqueId val="{00000002-0118-40D6-9800-A9843E4553B6}"/>
                </c:ext>
              </c:extLst>
            </c:dLbl>
            <c:spPr>
              <a:noFill/>
              <a:ln>
                <a:noFill/>
              </a:ln>
              <a:effectLst/>
            </c:spPr>
            <c:txPr>
              <a:bodyPr rot="0" spcFirstLastPara="1" vertOverflow="ellipsis" vert="horz" wrap="none" lIns="38100" tIns="19050" rIns="38100" bIns="19050" anchor="ctr" anchorCtr="1">
                <a:spAutoFit/>
              </a:bodyPr>
              <a:lstStyle/>
              <a:p>
                <a:pPr>
                  <a:defRPr sz="700" b="0" i="0" u="none" strike="noStrike" kern="1200" baseline="0">
                    <a:solidFill>
                      <a:schemeClr val="tx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'Pivot Report'!$AI$8:$AI$9</c:f>
              <c:strCache>
                <c:ptCount val="2"/>
                <c:pt idx="0">
                  <c:v>Admitted</c:v>
                </c:pt>
                <c:pt idx="1">
                  <c:v>Not Admitted</c:v>
                </c:pt>
              </c:strCache>
            </c:strRef>
          </c:cat>
          <c:val>
            <c:numRef>
              <c:f>'Pivot Report'!$AI$8:$AI$9</c:f>
              <c:numCache>
                <c:formatCode>General</c:formatCode>
                <c:ptCount val="2"/>
                <c:pt idx="0">
                  <c:v>4612</c:v>
                </c:pt>
                <c:pt idx="1">
                  <c:v>4604</c:v>
                </c:pt>
              </c:numCache>
            </c:numRef>
          </c:val>
          <c:extLst>
            <c:ext xmlns:c15="http://schemas.microsoft.com/office/drawing/2012/chart" uri="{02D57815-91ED-43cb-92C2-25804820EDAC}">
              <c15:datalabelsRange>
                <c15:f>'Pivot Report'!$AI$8:$AI$9</c15:f>
                <c15:dlblRangeCache>
                  <c:ptCount val="2"/>
                  <c:pt idx="0">
                    <c:v>50.04%</c:v>
                  </c:pt>
                  <c:pt idx="1">
                    <c:v>49.96%</c:v>
                  </c:pt>
                </c15:dlblRangeCache>
              </c15:datalabelsRange>
            </c:ext>
            <c:ext xmlns:c16="http://schemas.microsoft.com/office/drawing/2014/chart" uri="{C3380CC4-5D6E-409C-BE32-E72D297353CC}">
              <c16:uniqueId val="{00000000-0118-40D6-9800-A9843E4553B6}"/>
            </c:ext>
          </c:extLst>
        </c:ser>
        <c:ser>
          <c:idx val="1"/>
          <c:order val="1"/>
          <c:tx>
            <c:strRef>
              <c:f>'Pivot Report'!$AI$8:$AI$9</c:f>
              <c:strCache>
                <c:ptCount val="1"/>
                <c:pt idx="0">
                  <c:v>Count of Patient Admission Flag2</c:v>
                </c:pt>
              </c:strCache>
            </c:strRef>
          </c:tx>
          <c:spPr>
            <a:solidFill>
              <a:schemeClr val="accent2"/>
            </a:solidFill>
            <a:ln>
              <a:noFill/>
            </a:ln>
            <a:effectLst/>
          </c:spPr>
          <c:invertIfNegative val="0"/>
          <c:cat>
            <c:strRef>
              <c:f>'Pivot Report'!$AI$8:$AI$9</c:f>
              <c:strCache>
                <c:ptCount val="2"/>
                <c:pt idx="0">
                  <c:v>Admitted</c:v>
                </c:pt>
                <c:pt idx="1">
                  <c:v>Not Admitted</c:v>
                </c:pt>
              </c:strCache>
            </c:strRef>
          </c:cat>
          <c:val>
            <c:numRef>
              <c:f>'Pivot Report'!$AI$8:$AI$9</c:f>
              <c:numCache>
                <c:formatCode>0.00%</c:formatCode>
                <c:ptCount val="2"/>
                <c:pt idx="0">
                  <c:v>0.50043402777777779</c:v>
                </c:pt>
                <c:pt idx="1">
                  <c:v>0.49956597222222221</c:v>
                </c:pt>
              </c:numCache>
            </c:numRef>
          </c:val>
          <c:extLst>
            <c:ext xmlns:c16="http://schemas.microsoft.com/office/drawing/2014/chart" uri="{C3380CC4-5D6E-409C-BE32-E72D297353CC}">
              <c16:uniqueId val="{00000001-0118-40D6-9800-A9843E4553B6}"/>
            </c:ext>
          </c:extLst>
        </c:ser>
        <c:dLbls>
          <c:showLegendKey val="0"/>
          <c:showVal val="0"/>
          <c:showCatName val="0"/>
          <c:showSerName val="0"/>
          <c:showPercent val="0"/>
          <c:showBubbleSize val="0"/>
        </c:dLbls>
        <c:gapWidth val="0"/>
        <c:overlap val="54"/>
        <c:axId val="1403339391"/>
        <c:axId val="1403344799"/>
      </c:barChart>
      <c:catAx>
        <c:axId val="1403339391"/>
        <c:scaling>
          <c:orientation val="minMax"/>
        </c:scaling>
        <c:delete val="1"/>
        <c:axPos val="l"/>
        <c:numFmt formatCode="General" sourceLinked="1"/>
        <c:majorTickMark val="none"/>
        <c:minorTickMark val="none"/>
        <c:tickLblPos val="nextTo"/>
        <c:crossAx val="1403344799"/>
        <c:crosses val="autoZero"/>
        <c:auto val="1"/>
        <c:lblAlgn val="ctr"/>
        <c:lblOffset val="100"/>
        <c:noMultiLvlLbl val="0"/>
      </c:catAx>
      <c:valAx>
        <c:axId val="1403344799"/>
        <c:scaling>
          <c:orientation val="minMax"/>
        </c:scaling>
        <c:delete val="1"/>
        <c:axPos val="b"/>
        <c:numFmt formatCode="General" sourceLinked="1"/>
        <c:majorTickMark val="none"/>
        <c:minorTickMark val="none"/>
        <c:tickLblPos val="nextTo"/>
        <c:crossAx val="140333939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Report!PivotTable4</c:name>
    <c:fmtId val="0"/>
  </c:pivotSource>
  <c:chart>
    <c:autoTitleDeleted val="1"/>
    <c:pivotFmts>
      <c:pivotFmt>
        <c:idx val="0"/>
        <c:spPr>
          <a:solidFill>
            <a:schemeClr val="accent1">
              <a:lumMod val="50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Report'!$AR$6</c:f>
              <c:strCache>
                <c:ptCount val="1"/>
                <c:pt idx="0">
                  <c:v>Total</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Report'!$AQ$7:$AQ$15</c:f>
              <c:strCache>
                <c:ptCount val="8"/>
                <c:pt idx="0">
                  <c:v>0-09</c:v>
                </c:pt>
                <c:pt idx="1">
                  <c:v>10-19</c:v>
                </c:pt>
                <c:pt idx="2">
                  <c:v>20-29</c:v>
                </c:pt>
                <c:pt idx="3">
                  <c:v>30-39</c:v>
                </c:pt>
                <c:pt idx="4">
                  <c:v>40-49</c:v>
                </c:pt>
                <c:pt idx="5">
                  <c:v>50-59</c:v>
                </c:pt>
                <c:pt idx="6">
                  <c:v>60-69</c:v>
                </c:pt>
                <c:pt idx="7">
                  <c:v>70-79</c:v>
                </c:pt>
              </c:strCache>
            </c:strRef>
          </c:cat>
          <c:val>
            <c:numRef>
              <c:f>'Pivot Report'!$AR$7:$AR$15</c:f>
              <c:numCache>
                <c:formatCode>General</c:formatCode>
                <c:ptCount val="8"/>
                <c:pt idx="0">
                  <c:v>1176</c:v>
                </c:pt>
                <c:pt idx="1">
                  <c:v>1160</c:v>
                </c:pt>
                <c:pt idx="2">
                  <c:v>1207</c:v>
                </c:pt>
                <c:pt idx="3">
                  <c:v>1191</c:v>
                </c:pt>
                <c:pt idx="4">
                  <c:v>1137</c:v>
                </c:pt>
                <c:pt idx="5">
                  <c:v>1147</c:v>
                </c:pt>
                <c:pt idx="6">
                  <c:v>1150</c:v>
                </c:pt>
                <c:pt idx="7">
                  <c:v>1048</c:v>
                </c:pt>
              </c:numCache>
            </c:numRef>
          </c:val>
          <c:extLst>
            <c:ext xmlns:c16="http://schemas.microsoft.com/office/drawing/2014/chart" uri="{C3380CC4-5D6E-409C-BE32-E72D297353CC}">
              <c16:uniqueId val="{00000000-E3B1-47C7-BF4B-635A8D2909BA}"/>
            </c:ext>
          </c:extLst>
        </c:ser>
        <c:dLbls>
          <c:dLblPos val="outEnd"/>
          <c:showLegendKey val="0"/>
          <c:showVal val="1"/>
          <c:showCatName val="0"/>
          <c:showSerName val="0"/>
          <c:showPercent val="0"/>
          <c:showBubbleSize val="0"/>
        </c:dLbls>
        <c:gapWidth val="219"/>
        <c:overlap val="-27"/>
        <c:axId val="1194800847"/>
        <c:axId val="1194818735"/>
      </c:barChart>
      <c:catAx>
        <c:axId val="11948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818735"/>
        <c:crosses val="autoZero"/>
        <c:auto val="1"/>
        <c:lblAlgn val="ctr"/>
        <c:lblOffset val="100"/>
        <c:noMultiLvlLbl val="0"/>
      </c:catAx>
      <c:valAx>
        <c:axId val="1194818735"/>
        <c:scaling>
          <c:orientation val="minMax"/>
        </c:scaling>
        <c:delete val="1"/>
        <c:axPos val="l"/>
        <c:numFmt formatCode="General" sourceLinked="1"/>
        <c:majorTickMark val="none"/>
        <c:minorTickMark val="none"/>
        <c:tickLblPos val="nextTo"/>
        <c:crossAx val="119480084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Report!PivotTable9</c:name>
    <c:fmtId val="0"/>
  </c:pivotSource>
  <c:chart>
    <c:autoTitleDeleted val="1"/>
    <c:pivotFmts>
      <c:pivotFmt>
        <c:idx val="0"/>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15:layout/>
            </c:ext>
          </c:extLst>
        </c:dLbl>
      </c:pivotFmt>
      <c:pivotFmt>
        <c:idx val="1"/>
        <c:spPr>
          <a:solidFill>
            <a:schemeClr val="accent1">
              <a:lumMod val="50000"/>
            </a:schemeClr>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0.30160717410323712"/>
          <c:y val="0.11365009329124469"/>
          <c:w val="0.54722222222222228"/>
          <c:h val="0.81481481481481477"/>
        </c:manualLayout>
      </c:layout>
      <c:pieChart>
        <c:varyColors val="1"/>
        <c:ser>
          <c:idx val="0"/>
          <c:order val="0"/>
          <c:tx>
            <c:strRef>
              <c:f>'Pivot Report'!$BH$11</c:f>
              <c:strCache>
                <c:ptCount val="1"/>
                <c:pt idx="0">
                  <c:v>Total</c:v>
                </c:pt>
              </c:strCache>
            </c:strRef>
          </c:tx>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4-90C0-44DF-B1B0-C70773E12AA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DF9-486E-B6A0-3AB6DEF4D8B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Report'!$BG$12:$BG$14</c:f>
              <c:strCache>
                <c:ptCount val="2"/>
                <c:pt idx="0">
                  <c:v>Delay</c:v>
                </c:pt>
                <c:pt idx="1">
                  <c:v>On Time</c:v>
                </c:pt>
              </c:strCache>
            </c:strRef>
          </c:cat>
          <c:val>
            <c:numRef>
              <c:f>'Pivot Report'!$BH$12:$BH$14</c:f>
              <c:numCache>
                <c:formatCode>General</c:formatCode>
                <c:ptCount val="2"/>
                <c:pt idx="0">
                  <c:v>5467</c:v>
                </c:pt>
                <c:pt idx="1">
                  <c:v>3749</c:v>
                </c:pt>
              </c:numCache>
            </c:numRef>
          </c:val>
          <c:extLst>
            <c:ext xmlns:c16="http://schemas.microsoft.com/office/drawing/2014/chart" uri="{C3380CC4-5D6E-409C-BE32-E72D297353CC}">
              <c16:uniqueId val="{00000000-90C0-44DF-B1B0-C70773E12AAE}"/>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2.0189851268591418E-2"/>
          <c:y val="3.5014140371052722E-2"/>
          <c:w val="0.26036570428696415"/>
          <c:h val="0.12054590046586949"/>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Report!PivotTable14</c:name>
    <c:fmtId val="0"/>
  </c:pivotSource>
  <c:chart>
    <c:autoTitleDeleted val="1"/>
    <c:pivotFmts>
      <c:pivotFmt>
        <c:idx val="0"/>
        <c:spPr>
          <a:solidFill>
            <a:schemeClr val="accent1">
              <a:lumMod val="50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Report'!$AU$23</c:f>
              <c:strCache>
                <c:ptCount val="1"/>
                <c:pt idx="0">
                  <c:v>Total</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Report'!$AT$24:$AT$32</c:f>
              <c:strCache>
                <c:ptCount val="8"/>
                <c:pt idx="0">
                  <c:v>0-09</c:v>
                </c:pt>
                <c:pt idx="1">
                  <c:v>10-19</c:v>
                </c:pt>
                <c:pt idx="2">
                  <c:v>20-29</c:v>
                </c:pt>
                <c:pt idx="3">
                  <c:v>30-39</c:v>
                </c:pt>
                <c:pt idx="4">
                  <c:v>40-49</c:v>
                </c:pt>
                <c:pt idx="5">
                  <c:v>50-59</c:v>
                </c:pt>
                <c:pt idx="6">
                  <c:v>60-69</c:v>
                </c:pt>
                <c:pt idx="7">
                  <c:v>70-79</c:v>
                </c:pt>
              </c:strCache>
            </c:strRef>
          </c:cat>
          <c:val>
            <c:numRef>
              <c:f>'Pivot Report'!$AU$24:$AU$32</c:f>
              <c:numCache>
                <c:formatCode>General</c:formatCode>
                <c:ptCount val="8"/>
                <c:pt idx="0">
                  <c:v>76</c:v>
                </c:pt>
                <c:pt idx="1">
                  <c:v>69</c:v>
                </c:pt>
                <c:pt idx="2">
                  <c:v>64</c:v>
                </c:pt>
                <c:pt idx="3">
                  <c:v>59</c:v>
                </c:pt>
                <c:pt idx="4">
                  <c:v>58</c:v>
                </c:pt>
                <c:pt idx="5">
                  <c:v>66</c:v>
                </c:pt>
                <c:pt idx="6">
                  <c:v>67</c:v>
                </c:pt>
                <c:pt idx="7">
                  <c:v>54</c:v>
                </c:pt>
              </c:numCache>
            </c:numRef>
          </c:val>
          <c:extLst>
            <c:ext xmlns:c16="http://schemas.microsoft.com/office/drawing/2014/chart" uri="{C3380CC4-5D6E-409C-BE32-E72D297353CC}">
              <c16:uniqueId val="{00000000-7782-4CB9-BF0E-068A7BA7AB54}"/>
            </c:ext>
          </c:extLst>
        </c:ser>
        <c:dLbls>
          <c:dLblPos val="outEnd"/>
          <c:showLegendKey val="0"/>
          <c:showVal val="1"/>
          <c:showCatName val="0"/>
          <c:showSerName val="0"/>
          <c:showPercent val="0"/>
          <c:showBubbleSize val="0"/>
        </c:dLbls>
        <c:gapWidth val="219"/>
        <c:overlap val="-27"/>
        <c:axId val="1403355199"/>
        <c:axId val="1403352703"/>
      </c:barChart>
      <c:catAx>
        <c:axId val="1403355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3352703"/>
        <c:crosses val="autoZero"/>
        <c:auto val="1"/>
        <c:lblAlgn val="ctr"/>
        <c:lblOffset val="100"/>
        <c:noMultiLvlLbl val="0"/>
      </c:catAx>
      <c:valAx>
        <c:axId val="1403352703"/>
        <c:scaling>
          <c:orientation val="minMax"/>
        </c:scaling>
        <c:delete val="1"/>
        <c:axPos val="l"/>
        <c:numFmt formatCode="General" sourceLinked="1"/>
        <c:majorTickMark val="none"/>
        <c:minorTickMark val="none"/>
        <c:tickLblPos val="nextTo"/>
        <c:crossAx val="1403355199"/>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Report!PivotTable12</c:name>
    <c:fmtId val="3"/>
  </c:pivotSource>
  <c:chart>
    <c:autoTitleDeleted val="1"/>
    <c:pivotFmts>
      <c:pivotFmt>
        <c:idx val="0"/>
      </c:pivotFmt>
      <c:pivotFmt>
        <c:idx val="1"/>
      </c:pivotFmt>
      <c:pivotFmt>
        <c:idx val="2"/>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layout/>
            </c:ext>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
        <c:idx val="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Report'!$BP$25</c:f>
              <c:strCache>
                <c:ptCount val="1"/>
                <c:pt idx="0">
                  <c:v>Total</c:v>
                </c:pt>
              </c:strCache>
            </c:strRef>
          </c:tx>
          <c:dPt>
            <c:idx val="0"/>
            <c:bubble3D val="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extLst>
              <c:ext xmlns:c15="http://schemas.microsoft.com/office/drawing/2012/chart" uri="{CE6537A1-D6FC-4f65-9D91-7224C49458BB}">
                <c15:layout/>
              </c:ext>
            </c:extLst>
          </c:dLbls>
          <c:cat>
            <c:strRef>
              <c:f>'Pivot Report'!$BO$26:$BO$28</c:f>
              <c:strCache>
                <c:ptCount val="2"/>
                <c:pt idx="0">
                  <c:v>Delay</c:v>
                </c:pt>
                <c:pt idx="1">
                  <c:v>On Time</c:v>
                </c:pt>
              </c:strCache>
            </c:strRef>
          </c:cat>
          <c:val>
            <c:numRef>
              <c:f>'Pivot Report'!$BP$26:$BP$28</c:f>
              <c:numCache>
                <c:formatCode>0.00%</c:formatCode>
                <c:ptCount val="2"/>
                <c:pt idx="0">
                  <c:v>0.61598440545808963</c:v>
                </c:pt>
                <c:pt idx="1">
                  <c:v>0.38401559454191031</c:v>
                </c:pt>
              </c:numCache>
            </c:numRef>
          </c:val>
          <c:extLst>
            <c:ext xmlns:c16="http://schemas.microsoft.com/office/drawing/2014/chart" uri="{C3380CC4-5D6E-409C-BE32-E72D297353CC}">
              <c16:uniqueId val="{00000004-51FC-4F12-A236-2232A196AFB8}"/>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Report!PivotTable11</c:name>
    <c:fmtId val="0"/>
  </c:pivotSource>
  <c:chart>
    <c:autoTitleDeleted val="1"/>
    <c:pivotFmts>
      <c:pivotFmt>
        <c:idx val="0"/>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 Report'!$BS$19</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Report'!$BR$20:$BR$22</c:f>
              <c:strCache>
                <c:ptCount val="2"/>
                <c:pt idx="0">
                  <c:v>Female</c:v>
                </c:pt>
                <c:pt idx="1">
                  <c:v>Male</c:v>
                </c:pt>
              </c:strCache>
            </c:strRef>
          </c:cat>
          <c:val>
            <c:numRef>
              <c:f>'Pivot Report'!$BS$20:$BS$22</c:f>
              <c:numCache>
                <c:formatCode>General</c:formatCode>
                <c:ptCount val="2"/>
                <c:pt idx="0">
                  <c:v>241</c:v>
                </c:pt>
                <c:pt idx="1">
                  <c:v>272</c:v>
                </c:pt>
              </c:numCache>
            </c:numRef>
          </c:val>
          <c:extLst>
            <c:ext xmlns:c16="http://schemas.microsoft.com/office/drawing/2014/chart" uri="{C3380CC4-5D6E-409C-BE32-E72D297353CC}">
              <c16:uniqueId val="{00000004-9BF1-475C-A097-E3BF40124BF4}"/>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Report!PivotTable15</c:name>
    <c:fmtId val="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Report'!$CB$19</c:f>
              <c:strCache>
                <c:ptCount val="1"/>
                <c:pt idx="0">
                  <c:v>Total</c:v>
                </c:pt>
              </c:strCache>
            </c:strRef>
          </c:tx>
          <c:spPr>
            <a:solidFill>
              <a:schemeClr val="accent1"/>
            </a:solidFill>
            <a:ln>
              <a:noFill/>
            </a:ln>
            <a:effectLst/>
          </c:spPr>
          <c:invertIfNegative val="0"/>
          <c:cat>
            <c:strRef>
              <c:f>'Pivot Report'!$CA$20:$CA$28</c:f>
              <c:strCache>
                <c:ptCount val="8"/>
                <c:pt idx="0">
                  <c:v>Gastroenterology</c:v>
                </c:pt>
                <c:pt idx="1">
                  <c:v>Renal</c:v>
                </c:pt>
                <c:pt idx="2">
                  <c:v>Neurology</c:v>
                </c:pt>
                <c:pt idx="3">
                  <c:v>Physiotherapy</c:v>
                </c:pt>
                <c:pt idx="4">
                  <c:v>Cardiology</c:v>
                </c:pt>
                <c:pt idx="5">
                  <c:v>Orthopedics</c:v>
                </c:pt>
                <c:pt idx="6">
                  <c:v>General Practice</c:v>
                </c:pt>
                <c:pt idx="7">
                  <c:v>None</c:v>
                </c:pt>
              </c:strCache>
            </c:strRef>
          </c:cat>
          <c:val>
            <c:numRef>
              <c:f>'Pivot Report'!$CB$20:$CB$28</c:f>
              <c:numCache>
                <c:formatCode>General</c:formatCode>
                <c:ptCount val="8"/>
                <c:pt idx="0">
                  <c:v>4</c:v>
                </c:pt>
                <c:pt idx="1">
                  <c:v>5</c:v>
                </c:pt>
                <c:pt idx="2">
                  <c:v>9</c:v>
                </c:pt>
                <c:pt idx="3">
                  <c:v>14</c:v>
                </c:pt>
                <c:pt idx="4">
                  <c:v>14</c:v>
                </c:pt>
                <c:pt idx="5">
                  <c:v>65</c:v>
                </c:pt>
                <c:pt idx="6">
                  <c:v>103</c:v>
                </c:pt>
                <c:pt idx="7">
                  <c:v>299</c:v>
                </c:pt>
              </c:numCache>
            </c:numRef>
          </c:val>
          <c:extLst>
            <c:ext xmlns:c16="http://schemas.microsoft.com/office/drawing/2014/chart" uri="{C3380CC4-5D6E-409C-BE32-E72D297353CC}">
              <c16:uniqueId val="{00000000-7CE8-47E4-982D-2E17F6E8CE18}"/>
            </c:ext>
          </c:extLst>
        </c:ser>
        <c:dLbls>
          <c:showLegendKey val="0"/>
          <c:showVal val="0"/>
          <c:showCatName val="0"/>
          <c:showSerName val="0"/>
          <c:showPercent val="0"/>
          <c:showBubbleSize val="0"/>
        </c:dLbls>
        <c:gapWidth val="182"/>
        <c:axId val="96065327"/>
        <c:axId val="95701007"/>
      </c:barChart>
      <c:catAx>
        <c:axId val="96065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01007"/>
        <c:crosses val="autoZero"/>
        <c:auto val="1"/>
        <c:lblAlgn val="ctr"/>
        <c:lblOffset val="100"/>
        <c:noMultiLvlLbl val="0"/>
      </c:catAx>
      <c:valAx>
        <c:axId val="957010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065327"/>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Report!PivotTable8</c:name>
    <c:fmtId val="16"/>
  </c:pivotSource>
  <c:chart>
    <c:autoTitleDeleted val="1"/>
    <c:pivotFmts>
      <c:pivotFmt>
        <c:idx val="0"/>
      </c:pivotFmt>
      <c:pivotFmt>
        <c:idx val="1"/>
      </c:pivotFmt>
      <c:pivotFmt>
        <c:idx val="2"/>
      </c:pivotFmt>
      <c:pivotFmt>
        <c:idx val="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2.3323615160349854E-2"/>
          <c:y val="0.10526307857960397"/>
          <c:w val="0.91448007774538387"/>
          <c:h val="0.5502561502044605"/>
        </c:manualLayout>
      </c:layout>
      <c:areaChart>
        <c:grouping val="standard"/>
        <c:varyColors val="0"/>
        <c:ser>
          <c:idx val="0"/>
          <c:order val="0"/>
          <c:tx>
            <c:strRef>
              <c:f>'Pivot Report'!$D$3</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accent1">
                          <a:lumMod val="60000"/>
                          <a:lumOff val="40000"/>
                        </a:schemeClr>
                      </a:solidFill>
                    </a:ln>
                    <a:effectLst/>
                  </c:spPr>
                </c15:leaderLines>
              </c:ext>
            </c:extLst>
          </c:dLbls>
          <c:cat>
            <c:strRef>
              <c:f>'Pivot Report'!$C$4:$C$35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Report'!$D$4:$D$35</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0-20EF-4AB6-AF41-42F55BFE0EF8}"/>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812017248"/>
        <c:axId val="1812031392"/>
      </c:areaChart>
      <c:catAx>
        <c:axId val="1812017248"/>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812031392"/>
        <c:crosses val="autoZero"/>
        <c:auto val="1"/>
        <c:lblAlgn val="ctr"/>
        <c:lblOffset val="100"/>
        <c:noMultiLvlLbl val="0"/>
      </c:catAx>
      <c:valAx>
        <c:axId val="1812031392"/>
        <c:scaling>
          <c:orientation val="minMax"/>
        </c:scaling>
        <c:delete val="1"/>
        <c:axPos val="l"/>
        <c:numFmt formatCode="General" sourceLinked="1"/>
        <c:majorTickMark val="out"/>
        <c:minorTickMark val="none"/>
        <c:tickLblPos val="nextTo"/>
        <c:crossAx val="1812017248"/>
        <c:crosses val="autoZero"/>
        <c:crossBetween val="midCat"/>
      </c:valAx>
      <c:spPr>
        <a:noFill/>
        <a:ln>
          <a:noFill/>
        </a:ln>
        <a:effectLst/>
      </c:spPr>
    </c:plotArea>
    <c:plotVisOnly val="1"/>
    <c:dispBlanksAs val="zero"/>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c:name>
    <c:fmtId val="22"/>
  </c:pivotSource>
  <c:chart>
    <c:autoTitleDeleted val="1"/>
    <c:pivotFmts>
      <c:pivotFmt>
        <c:idx val="0"/>
      </c:pivotFmt>
      <c:pivotFmt>
        <c:idx val="1"/>
      </c:pivotFmt>
      <c:pivotFmt>
        <c:idx val="2"/>
      </c:pivotFmt>
      <c:pivotFmt>
        <c:idx val="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2.1736497597486179E-2"/>
          <c:y val="6.0069373298597906E-2"/>
          <c:w val="0.95590459569517161"/>
          <c:h val="0.82731639493018772"/>
        </c:manualLayout>
      </c:layout>
      <c:areaChart>
        <c:grouping val="standard"/>
        <c:varyColors val="0"/>
        <c:ser>
          <c:idx val="0"/>
          <c:order val="0"/>
          <c:tx>
            <c:strRef>
              <c:f>'Pivot Report'!$O$3</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accent1">
                          <a:lumMod val="60000"/>
                          <a:lumOff val="40000"/>
                        </a:schemeClr>
                      </a:solidFill>
                    </a:ln>
                    <a:effectLst/>
                  </c:spPr>
                </c15:leaderLines>
              </c:ext>
            </c:extLst>
          </c:dLbls>
          <c:cat>
            <c:strRef>
              <c:f>'Pivot Report'!$N$4:$N$35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Report'!$O$4:$O$35</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0-75B4-4731-A4FB-9931E1405F11}"/>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194820815"/>
        <c:axId val="1194825807"/>
      </c:areaChart>
      <c:catAx>
        <c:axId val="1194820815"/>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1000" b="0" i="0" u="none" strike="noStrike" kern="1200" baseline="0">
                <a:solidFill>
                  <a:schemeClr val="lt1"/>
                </a:solidFill>
                <a:latin typeface="+mn-lt"/>
                <a:ea typeface="+mn-ea"/>
                <a:cs typeface="+mn-cs"/>
              </a:defRPr>
            </a:pPr>
            <a:endParaRPr lang="en-US"/>
          </a:p>
        </c:txPr>
        <c:crossAx val="1194825807"/>
        <c:crosses val="autoZero"/>
        <c:auto val="1"/>
        <c:lblAlgn val="ctr"/>
        <c:lblOffset val="100"/>
        <c:noMultiLvlLbl val="0"/>
      </c:catAx>
      <c:valAx>
        <c:axId val="1194825807"/>
        <c:scaling>
          <c:orientation val="minMax"/>
        </c:scaling>
        <c:delete val="1"/>
        <c:axPos val="l"/>
        <c:numFmt formatCode="0.00" sourceLinked="1"/>
        <c:majorTickMark val="out"/>
        <c:minorTickMark val="none"/>
        <c:tickLblPos val="nextTo"/>
        <c:crossAx val="1194820815"/>
        <c:crosses val="autoZero"/>
        <c:crossBetween val="midCat"/>
      </c:valAx>
      <c:spPr>
        <a:noFill/>
        <a:ln>
          <a:noFill/>
        </a:ln>
        <a:effectLst/>
      </c:spPr>
    </c:plotArea>
    <c:plotVisOnly val="1"/>
    <c:dispBlanksAs val="zero"/>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Report!PivotTable2</c:name>
    <c:fmtId val="30"/>
  </c:pivotSource>
  <c:chart>
    <c:autoTitleDeleted val="1"/>
    <c:pivotFmts>
      <c:pivotFmt>
        <c:idx val="0"/>
      </c:pivotFmt>
      <c:pivotFmt>
        <c:idx val="1"/>
      </c:pivotFmt>
      <c:pivotFmt>
        <c:idx val="2"/>
      </c:pivotFmt>
      <c:pivotFmt>
        <c:idx val="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areaChart>
        <c:grouping val="standard"/>
        <c:varyColors val="0"/>
        <c:ser>
          <c:idx val="0"/>
          <c:order val="0"/>
          <c:tx>
            <c:strRef>
              <c:f>'Pivot Report'!$S$3</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accent1">
                          <a:lumMod val="60000"/>
                          <a:lumOff val="40000"/>
                        </a:schemeClr>
                      </a:solidFill>
                    </a:ln>
                    <a:effectLst/>
                  </c:spPr>
                </c15:leaderLines>
              </c:ext>
            </c:extLst>
          </c:dLbls>
          <c:cat>
            <c:strRef>
              <c:f>'Pivot Report'!$R$4:$R$35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Report'!$S$4:$S$35</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0-F29A-45C1-BBDE-06D9495CB200}"/>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106320847"/>
        <c:axId val="1106327503"/>
      </c:areaChart>
      <c:catAx>
        <c:axId val="1106320847"/>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06327503"/>
        <c:crosses val="autoZero"/>
        <c:auto val="1"/>
        <c:lblAlgn val="ctr"/>
        <c:lblOffset val="100"/>
        <c:noMultiLvlLbl val="0"/>
      </c:catAx>
      <c:valAx>
        <c:axId val="1106327503"/>
        <c:scaling>
          <c:orientation val="minMax"/>
        </c:scaling>
        <c:delete val="1"/>
        <c:axPos val="l"/>
        <c:numFmt formatCode="0.00" sourceLinked="1"/>
        <c:majorTickMark val="out"/>
        <c:minorTickMark val="none"/>
        <c:tickLblPos val="nextTo"/>
        <c:crossAx val="1106320847"/>
        <c:crosses val="autoZero"/>
        <c:crossBetween val="midCat"/>
      </c:valAx>
      <c:spPr>
        <a:noFill/>
        <a:ln>
          <a:noFill/>
        </a:ln>
        <a:effectLst/>
      </c:spPr>
    </c:plotArea>
    <c:plotVisOnly val="1"/>
    <c:dispBlanksAs val="zero"/>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Report!PivotTable8</c:name>
    <c:fmtId val="19"/>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lumMod val="50000"/>
            </a:schemeClr>
          </a:solidFill>
          <a:ln w="25400">
            <a:noFill/>
          </a:ln>
          <a:effectLst/>
        </c:spPr>
        <c:marker>
          <c:symbol val="none"/>
        </c:marker>
      </c:pivotFmt>
    </c:pivotFmts>
    <c:plotArea>
      <c:layout>
        <c:manualLayout>
          <c:layoutTarget val="inner"/>
          <c:xMode val="edge"/>
          <c:yMode val="edge"/>
          <c:x val="1.5860853214243742E-2"/>
          <c:y val="0"/>
          <c:w val="0.95925608179574573"/>
          <c:h val="0.73207349081364825"/>
        </c:manualLayout>
      </c:layout>
      <c:areaChart>
        <c:grouping val="standard"/>
        <c:varyColors val="0"/>
        <c:ser>
          <c:idx val="0"/>
          <c:order val="0"/>
          <c:tx>
            <c:strRef>
              <c:f>'Pivot Report'!$D$3</c:f>
              <c:strCache>
                <c:ptCount val="1"/>
                <c:pt idx="0">
                  <c:v>Total</c:v>
                </c:pt>
              </c:strCache>
            </c:strRef>
          </c:tx>
          <c:spPr>
            <a:solidFill>
              <a:schemeClr val="accent1">
                <a:lumMod val="50000"/>
              </a:schemeClr>
            </a:solidFill>
            <a:ln w="25400">
              <a:noFill/>
            </a:ln>
            <a:effectLst/>
          </c:spPr>
          <c:cat>
            <c:strRef>
              <c:f>'Pivot Report'!$C$4:$C$35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Report'!$D$4:$D$35</c:f>
              <c:numCache>
                <c:formatCode>General</c:formatCode>
                <c:ptCount val="31"/>
                <c:pt idx="0">
                  <c:v>19</c:v>
                </c:pt>
                <c:pt idx="1">
                  <c:v>14</c:v>
                </c:pt>
                <c:pt idx="2">
                  <c:v>13</c:v>
                </c:pt>
                <c:pt idx="3">
                  <c:v>22</c:v>
                </c:pt>
                <c:pt idx="4">
                  <c:v>19</c:v>
                </c:pt>
                <c:pt idx="5">
                  <c:v>15</c:v>
                </c:pt>
                <c:pt idx="6">
                  <c:v>12</c:v>
                </c:pt>
                <c:pt idx="7">
                  <c:v>21</c:v>
                </c:pt>
                <c:pt idx="8">
                  <c:v>12</c:v>
                </c:pt>
                <c:pt idx="9">
                  <c:v>13</c:v>
                </c:pt>
                <c:pt idx="10">
                  <c:v>13</c:v>
                </c:pt>
                <c:pt idx="11">
                  <c:v>16</c:v>
                </c:pt>
                <c:pt idx="12">
                  <c:v>20</c:v>
                </c:pt>
                <c:pt idx="13">
                  <c:v>25</c:v>
                </c:pt>
                <c:pt idx="14">
                  <c:v>20</c:v>
                </c:pt>
                <c:pt idx="15">
                  <c:v>14</c:v>
                </c:pt>
                <c:pt idx="16">
                  <c:v>17</c:v>
                </c:pt>
                <c:pt idx="17">
                  <c:v>20</c:v>
                </c:pt>
                <c:pt idx="18">
                  <c:v>10</c:v>
                </c:pt>
                <c:pt idx="19">
                  <c:v>17</c:v>
                </c:pt>
                <c:pt idx="20">
                  <c:v>15</c:v>
                </c:pt>
                <c:pt idx="21">
                  <c:v>16</c:v>
                </c:pt>
                <c:pt idx="22">
                  <c:v>18</c:v>
                </c:pt>
                <c:pt idx="23">
                  <c:v>16</c:v>
                </c:pt>
                <c:pt idx="24">
                  <c:v>15</c:v>
                </c:pt>
                <c:pt idx="25">
                  <c:v>14</c:v>
                </c:pt>
                <c:pt idx="26">
                  <c:v>16</c:v>
                </c:pt>
                <c:pt idx="27">
                  <c:v>20</c:v>
                </c:pt>
                <c:pt idx="28">
                  <c:v>19</c:v>
                </c:pt>
                <c:pt idx="29">
                  <c:v>14</c:v>
                </c:pt>
                <c:pt idx="30">
                  <c:v>18</c:v>
                </c:pt>
              </c:numCache>
            </c:numRef>
          </c:val>
          <c:extLst>
            <c:ext xmlns:c16="http://schemas.microsoft.com/office/drawing/2014/chart" uri="{C3380CC4-5D6E-409C-BE32-E72D297353CC}">
              <c16:uniqueId val="{00000001-B87D-4A93-A130-311D376683E2}"/>
            </c:ext>
          </c:extLst>
        </c:ser>
        <c:dLbls>
          <c:showLegendKey val="0"/>
          <c:showVal val="0"/>
          <c:showCatName val="0"/>
          <c:showSerName val="0"/>
          <c:showPercent val="0"/>
          <c:showBubbleSize val="0"/>
        </c:dLbls>
        <c:axId val="1812017248"/>
        <c:axId val="1812031392"/>
      </c:areaChart>
      <c:catAx>
        <c:axId val="1812017248"/>
        <c:scaling>
          <c:orientation val="minMax"/>
        </c:scaling>
        <c:delete val="1"/>
        <c:axPos val="b"/>
        <c:numFmt formatCode="General" sourceLinked="1"/>
        <c:majorTickMark val="out"/>
        <c:minorTickMark val="none"/>
        <c:tickLblPos val="nextTo"/>
        <c:crossAx val="1812031392"/>
        <c:crosses val="autoZero"/>
        <c:auto val="1"/>
        <c:lblAlgn val="ctr"/>
        <c:lblOffset val="100"/>
        <c:noMultiLvlLbl val="0"/>
      </c:catAx>
      <c:valAx>
        <c:axId val="1812031392"/>
        <c:scaling>
          <c:orientation val="minMax"/>
        </c:scaling>
        <c:delete val="1"/>
        <c:axPos val="l"/>
        <c:numFmt formatCode="General" sourceLinked="1"/>
        <c:majorTickMark val="none"/>
        <c:minorTickMark val="none"/>
        <c:tickLblPos val="nextTo"/>
        <c:crossAx val="1812017248"/>
        <c:crosses val="autoZero"/>
        <c:crossBetween val="midCat"/>
      </c:valAx>
      <c:spPr>
        <a:noFill/>
        <a:ln>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c:name>
    <c:fmtId val="28"/>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lumMod val="50000"/>
            </a:schemeClr>
          </a:solidFill>
          <a:ln w="25400">
            <a:noFill/>
          </a:ln>
          <a:effectLst/>
        </c:spPr>
        <c:marker>
          <c:symbol val="none"/>
        </c:marker>
      </c:pivotFmt>
    </c:pivotFmts>
    <c:plotArea>
      <c:layout>
        <c:manualLayout>
          <c:layoutTarget val="inner"/>
          <c:xMode val="edge"/>
          <c:yMode val="edge"/>
          <c:x val="7.9136690647482008E-2"/>
          <c:y val="0.3055562238762552"/>
          <c:w val="0.92086330935251803"/>
          <c:h val="0.38888755224748961"/>
        </c:manualLayout>
      </c:layout>
      <c:areaChart>
        <c:grouping val="standard"/>
        <c:varyColors val="0"/>
        <c:ser>
          <c:idx val="0"/>
          <c:order val="0"/>
          <c:tx>
            <c:strRef>
              <c:f>'Pivot Report'!$O$3</c:f>
              <c:strCache>
                <c:ptCount val="1"/>
                <c:pt idx="0">
                  <c:v>Total</c:v>
                </c:pt>
              </c:strCache>
            </c:strRef>
          </c:tx>
          <c:spPr>
            <a:solidFill>
              <a:schemeClr val="accent1">
                <a:lumMod val="50000"/>
              </a:schemeClr>
            </a:solidFill>
            <a:ln w="25400">
              <a:noFill/>
            </a:ln>
            <a:effectLst/>
          </c:spPr>
          <c:cat>
            <c:strRef>
              <c:f>'Pivot Report'!$N$4:$N$35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Report'!$O$4:$O$35</c:f>
              <c:numCache>
                <c:formatCode>0.00</c:formatCode>
                <c:ptCount val="31"/>
                <c:pt idx="0">
                  <c:v>37.789473684210527</c:v>
                </c:pt>
                <c:pt idx="1">
                  <c:v>38.214285714285715</c:v>
                </c:pt>
                <c:pt idx="2">
                  <c:v>40.92307692307692</c:v>
                </c:pt>
                <c:pt idx="3">
                  <c:v>34.5</c:v>
                </c:pt>
                <c:pt idx="4">
                  <c:v>30.684210526315791</c:v>
                </c:pt>
                <c:pt idx="5">
                  <c:v>37.666666666666664</c:v>
                </c:pt>
                <c:pt idx="6">
                  <c:v>36.083333333333336</c:v>
                </c:pt>
                <c:pt idx="7">
                  <c:v>43.523809523809526</c:v>
                </c:pt>
                <c:pt idx="8">
                  <c:v>29.5</c:v>
                </c:pt>
                <c:pt idx="9">
                  <c:v>38.07692307692308</c:v>
                </c:pt>
                <c:pt idx="10">
                  <c:v>35.846153846153847</c:v>
                </c:pt>
                <c:pt idx="11">
                  <c:v>32.625</c:v>
                </c:pt>
                <c:pt idx="12">
                  <c:v>39.200000000000003</c:v>
                </c:pt>
                <c:pt idx="13">
                  <c:v>35.28</c:v>
                </c:pt>
                <c:pt idx="14">
                  <c:v>32.549999999999997</c:v>
                </c:pt>
                <c:pt idx="15">
                  <c:v>35.642857142857146</c:v>
                </c:pt>
                <c:pt idx="16">
                  <c:v>38.764705882352942</c:v>
                </c:pt>
                <c:pt idx="17">
                  <c:v>39.9</c:v>
                </c:pt>
                <c:pt idx="18">
                  <c:v>41.6</c:v>
                </c:pt>
                <c:pt idx="19">
                  <c:v>39.470588235294116</c:v>
                </c:pt>
                <c:pt idx="20">
                  <c:v>27.733333333333334</c:v>
                </c:pt>
                <c:pt idx="21">
                  <c:v>36.875</c:v>
                </c:pt>
                <c:pt idx="22">
                  <c:v>40.333333333333336</c:v>
                </c:pt>
                <c:pt idx="23">
                  <c:v>36.5</c:v>
                </c:pt>
                <c:pt idx="24">
                  <c:v>32.866666666666667</c:v>
                </c:pt>
                <c:pt idx="25">
                  <c:v>36.642857142857146</c:v>
                </c:pt>
                <c:pt idx="26">
                  <c:v>36.5625</c:v>
                </c:pt>
                <c:pt idx="27">
                  <c:v>32.15</c:v>
                </c:pt>
                <c:pt idx="28">
                  <c:v>38.368421052631582</c:v>
                </c:pt>
                <c:pt idx="29">
                  <c:v>33.071428571428569</c:v>
                </c:pt>
                <c:pt idx="30">
                  <c:v>36.444444444444443</c:v>
                </c:pt>
              </c:numCache>
            </c:numRef>
          </c:val>
          <c:extLst>
            <c:ext xmlns:c16="http://schemas.microsoft.com/office/drawing/2014/chart" uri="{C3380CC4-5D6E-409C-BE32-E72D297353CC}">
              <c16:uniqueId val="{00000001-8199-45BF-B1D8-CA939DD47645}"/>
            </c:ext>
          </c:extLst>
        </c:ser>
        <c:dLbls>
          <c:showLegendKey val="0"/>
          <c:showVal val="0"/>
          <c:showCatName val="0"/>
          <c:showSerName val="0"/>
          <c:showPercent val="0"/>
          <c:showBubbleSize val="0"/>
        </c:dLbls>
        <c:axId val="1194820815"/>
        <c:axId val="1194825807"/>
      </c:areaChart>
      <c:catAx>
        <c:axId val="1194820815"/>
        <c:scaling>
          <c:orientation val="minMax"/>
        </c:scaling>
        <c:delete val="1"/>
        <c:axPos val="b"/>
        <c:numFmt formatCode="General" sourceLinked="1"/>
        <c:majorTickMark val="out"/>
        <c:minorTickMark val="none"/>
        <c:tickLblPos val="nextTo"/>
        <c:crossAx val="1194825807"/>
        <c:crosses val="autoZero"/>
        <c:auto val="1"/>
        <c:lblAlgn val="ctr"/>
        <c:lblOffset val="100"/>
        <c:noMultiLvlLbl val="0"/>
      </c:catAx>
      <c:valAx>
        <c:axId val="1194825807"/>
        <c:scaling>
          <c:orientation val="minMax"/>
        </c:scaling>
        <c:delete val="1"/>
        <c:axPos val="l"/>
        <c:numFmt formatCode="0.00" sourceLinked="1"/>
        <c:majorTickMark val="none"/>
        <c:minorTickMark val="none"/>
        <c:tickLblPos val="nextTo"/>
        <c:crossAx val="1194820815"/>
        <c:crosses val="autoZero"/>
        <c:crossBetween val="midCat"/>
      </c:valAx>
      <c:spPr>
        <a:noFill/>
        <a:ln w="25400">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Report!PivotTable2</c:name>
    <c:fmtId val="3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lumMod val="50000"/>
            </a:schemeClr>
          </a:solidFill>
          <a:ln w="25400">
            <a:noFill/>
          </a:ln>
          <a:effectLst/>
        </c:spPr>
        <c:marker>
          <c:symbol val="none"/>
        </c:marker>
      </c:pivotFmt>
    </c:pivotFmts>
    <c:plotArea>
      <c:layout>
        <c:manualLayout>
          <c:layoutTarget val="inner"/>
          <c:xMode val="edge"/>
          <c:yMode val="edge"/>
          <c:x val="7.8853046594982074E-2"/>
          <c:y val="4.5158584148944012E-2"/>
          <c:w val="0.91397849462365588"/>
          <c:h val="0.83491647656192525"/>
        </c:manualLayout>
      </c:layout>
      <c:areaChart>
        <c:grouping val="standard"/>
        <c:varyColors val="0"/>
        <c:ser>
          <c:idx val="0"/>
          <c:order val="0"/>
          <c:tx>
            <c:strRef>
              <c:f>'Pivot Report'!$S$3</c:f>
              <c:strCache>
                <c:ptCount val="1"/>
                <c:pt idx="0">
                  <c:v>Total</c:v>
                </c:pt>
              </c:strCache>
            </c:strRef>
          </c:tx>
          <c:spPr>
            <a:solidFill>
              <a:schemeClr val="accent1">
                <a:lumMod val="50000"/>
              </a:schemeClr>
            </a:solidFill>
            <a:ln w="25400">
              <a:noFill/>
            </a:ln>
            <a:effectLst/>
          </c:spPr>
          <c:cat>
            <c:strRef>
              <c:f>'Pivot Report'!$R$4:$R$35</c:f>
              <c:strCache>
                <c:ptCount val="31"/>
                <c:pt idx="0">
                  <c:v>1-Jan</c:v>
                </c:pt>
                <c:pt idx="1">
                  <c:v>2-Jan</c:v>
                </c:pt>
                <c:pt idx="2">
                  <c:v>3-Jan</c:v>
                </c:pt>
                <c:pt idx="3">
                  <c:v>4-Jan</c:v>
                </c:pt>
                <c:pt idx="4">
                  <c:v>5-Jan</c:v>
                </c:pt>
                <c:pt idx="5">
                  <c:v>6-Jan</c:v>
                </c:pt>
                <c:pt idx="6">
                  <c:v>7-Jan</c:v>
                </c:pt>
                <c:pt idx="7">
                  <c:v>8-Jan</c:v>
                </c:pt>
                <c:pt idx="8">
                  <c:v>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strCache>
            </c:strRef>
          </c:cat>
          <c:val>
            <c:numRef>
              <c:f>'Pivot Report'!$S$4:$S$35</c:f>
              <c:numCache>
                <c:formatCode>0.00</c:formatCode>
                <c:ptCount val="31"/>
                <c:pt idx="0">
                  <c:v>6.666666666666667</c:v>
                </c:pt>
                <c:pt idx="1">
                  <c:v>3.5</c:v>
                </c:pt>
                <c:pt idx="2">
                  <c:v>4.5</c:v>
                </c:pt>
                <c:pt idx="3">
                  <c:v>4.8</c:v>
                </c:pt>
                <c:pt idx="4">
                  <c:v>7.75</c:v>
                </c:pt>
                <c:pt idx="5">
                  <c:v>6.2</c:v>
                </c:pt>
                <c:pt idx="6">
                  <c:v>3.75</c:v>
                </c:pt>
                <c:pt idx="7">
                  <c:v>6.5</c:v>
                </c:pt>
                <c:pt idx="8">
                  <c:v>3</c:v>
                </c:pt>
                <c:pt idx="9">
                  <c:v>4.5</c:v>
                </c:pt>
                <c:pt idx="10">
                  <c:v>6</c:v>
                </c:pt>
                <c:pt idx="11">
                  <c:v>5.2</c:v>
                </c:pt>
                <c:pt idx="12">
                  <c:v>4.4000000000000004</c:v>
                </c:pt>
                <c:pt idx="13">
                  <c:v>3.4545454545454546</c:v>
                </c:pt>
                <c:pt idx="14">
                  <c:v>4.4000000000000004</c:v>
                </c:pt>
                <c:pt idx="15">
                  <c:v>5.833333333333333</c:v>
                </c:pt>
                <c:pt idx="16">
                  <c:v>4.4444444444444446</c:v>
                </c:pt>
                <c:pt idx="17">
                  <c:v>5.333333333333333</c:v>
                </c:pt>
                <c:pt idx="18">
                  <c:v>5.333333333333333</c:v>
                </c:pt>
                <c:pt idx="19">
                  <c:v>5.5714285714285712</c:v>
                </c:pt>
                <c:pt idx="20">
                  <c:v>5</c:v>
                </c:pt>
                <c:pt idx="21">
                  <c:v>6.4</c:v>
                </c:pt>
                <c:pt idx="22">
                  <c:v>5.333333333333333</c:v>
                </c:pt>
                <c:pt idx="23">
                  <c:v>3.75</c:v>
                </c:pt>
                <c:pt idx="24">
                  <c:v>6.333333333333333</c:v>
                </c:pt>
                <c:pt idx="25">
                  <c:v>10</c:v>
                </c:pt>
                <c:pt idx="26">
                  <c:v>5</c:v>
                </c:pt>
                <c:pt idx="27">
                  <c:v>5.333333333333333</c:v>
                </c:pt>
                <c:pt idx="28">
                  <c:v>4.8</c:v>
                </c:pt>
                <c:pt idx="29">
                  <c:v>5</c:v>
                </c:pt>
                <c:pt idx="30">
                  <c:v>1.4</c:v>
                </c:pt>
              </c:numCache>
            </c:numRef>
          </c:val>
          <c:extLst>
            <c:ext xmlns:c16="http://schemas.microsoft.com/office/drawing/2014/chart" uri="{C3380CC4-5D6E-409C-BE32-E72D297353CC}">
              <c16:uniqueId val="{00000001-3A3B-42CF-B930-6F27A7843277}"/>
            </c:ext>
          </c:extLst>
        </c:ser>
        <c:dLbls>
          <c:showLegendKey val="0"/>
          <c:showVal val="0"/>
          <c:showCatName val="0"/>
          <c:showSerName val="0"/>
          <c:showPercent val="0"/>
          <c:showBubbleSize val="0"/>
        </c:dLbls>
        <c:axId val="1106320847"/>
        <c:axId val="1106327503"/>
      </c:areaChart>
      <c:catAx>
        <c:axId val="1106320847"/>
        <c:scaling>
          <c:orientation val="minMax"/>
        </c:scaling>
        <c:delete val="1"/>
        <c:axPos val="b"/>
        <c:numFmt formatCode="General" sourceLinked="1"/>
        <c:majorTickMark val="out"/>
        <c:minorTickMark val="none"/>
        <c:tickLblPos val="nextTo"/>
        <c:crossAx val="1106327503"/>
        <c:crosses val="autoZero"/>
        <c:auto val="1"/>
        <c:lblAlgn val="ctr"/>
        <c:lblOffset val="100"/>
        <c:noMultiLvlLbl val="0"/>
      </c:catAx>
      <c:valAx>
        <c:axId val="1106327503"/>
        <c:scaling>
          <c:orientation val="minMax"/>
        </c:scaling>
        <c:delete val="1"/>
        <c:axPos val="l"/>
        <c:numFmt formatCode="0.00" sourceLinked="1"/>
        <c:majorTickMark val="none"/>
        <c:minorTickMark val="none"/>
        <c:tickLblPos val="nextTo"/>
        <c:crossAx val="1106320847"/>
        <c:crosses val="autoZero"/>
        <c:crossBetween val="midCat"/>
      </c:valAx>
      <c:spPr>
        <a:noFill/>
        <a:ln>
          <a:noFill/>
        </a:ln>
        <a:effectLst/>
      </c:spPr>
    </c:plotArea>
    <c:plotVisOnly val="1"/>
    <c:dispBlanksAs val="zero"/>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Report!PivotTable14</c:name>
    <c:fmtId val="6"/>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Report'!$AU$23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'Pivot Report'!$AT$24:$AT$32</c:f>
              <c:strCache>
                <c:ptCount val="8"/>
                <c:pt idx="0">
                  <c:v>0-09</c:v>
                </c:pt>
                <c:pt idx="1">
                  <c:v>10-19</c:v>
                </c:pt>
                <c:pt idx="2">
                  <c:v>20-29</c:v>
                </c:pt>
                <c:pt idx="3">
                  <c:v>30-39</c:v>
                </c:pt>
                <c:pt idx="4">
                  <c:v>40-49</c:v>
                </c:pt>
                <c:pt idx="5">
                  <c:v>50-59</c:v>
                </c:pt>
                <c:pt idx="6">
                  <c:v>60-69</c:v>
                </c:pt>
                <c:pt idx="7">
                  <c:v>70-79</c:v>
                </c:pt>
              </c:strCache>
            </c:strRef>
          </c:cat>
          <c:val>
            <c:numRef>
              <c:f>'Pivot Report'!$AU$24:$AU$32</c:f>
              <c:numCache>
                <c:formatCode>General</c:formatCode>
                <c:ptCount val="8"/>
                <c:pt idx="0">
                  <c:v>76</c:v>
                </c:pt>
                <c:pt idx="1">
                  <c:v>69</c:v>
                </c:pt>
                <c:pt idx="2">
                  <c:v>64</c:v>
                </c:pt>
                <c:pt idx="3">
                  <c:v>59</c:v>
                </c:pt>
                <c:pt idx="4">
                  <c:v>58</c:v>
                </c:pt>
                <c:pt idx="5">
                  <c:v>66</c:v>
                </c:pt>
                <c:pt idx="6">
                  <c:v>67</c:v>
                </c:pt>
                <c:pt idx="7">
                  <c:v>54</c:v>
                </c:pt>
              </c:numCache>
            </c:numRef>
          </c:val>
          <c:extLst>
            <c:ext xmlns:c16="http://schemas.microsoft.com/office/drawing/2014/chart" uri="{C3380CC4-5D6E-409C-BE32-E72D297353CC}">
              <c16:uniqueId val="{00000001-72E4-45C9-94AE-FF1B419DE81A}"/>
            </c:ext>
          </c:extLst>
        </c:ser>
        <c:dLbls>
          <c:dLblPos val="outEnd"/>
          <c:showLegendKey val="0"/>
          <c:showVal val="1"/>
          <c:showCatName val="0"/>
          <c:showSerName val="0"/>
          <c:showPercent val="0"/>
          <c:showBubbleSize val="0"/>
        </c:dLbls>
        <c:gapWidth val="100"/>
        <c:overlap val="-24"/>
        <c:axId val="1403355199"/>
        <c:axId val="1403352703"/>
      </c:barChart>
      <c:catAx>
        <c:axId val="140335519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403352703"/>
        <c:crosses val="autoZero"/>
        <c:auto val="1"/>
        <c:lblAlgn val="ctr"/>
        <c:lblOffset val="100"/>
        <c:noMultiLvlLbl val="0"/>
      </c:catAx>
      <c:valAx>
        <c:axId val="1403352703"/>
        <c:scaling>
          <c:orientation val="minMax"/>
        </c:scaling>
        <c:delete val="1"/>
        <c:axPos val="l"/>
        <c:numFmt formatCode="General" sourceLinked="1"/>
        <c:majorTickMark val="none"/>
        <c:minorTickMark val="none"/>
        <c:tickLblPos val="nextTo"/>
        <c:crossAx val="140335519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accent1">
          <a:lumMod val="20000"/>
          <a:lumOff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Report!PivotTable12</c:name>
    <c:fmtId val="12"/>
  </c:pivotSource>
  <c:chart>
    <c:autoTitleDeleted val="1"/>
    <c:pivotFmts>
      <c:pivotFmt>
        <c:idx val="0"/>
      </c:pivotFmt>
      <c:pivotFmt>
        <c:idx val="1"/>
      </c:pivotFmt>
      <c:pivotFmt>
        <c:idx val="2"/>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4"/>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xForSave val="1"/>
            </c:ext>
          </c:extLst>
        </c:dLbl>
      </c:pivotFmt>
      <c:pivotFmt>
        <c:idx val="5"/>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9"/>
        <c:spPr>
          <a:solidFill>
            <a:schemeClr val="accent1">
              <a:lumMod val="5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2"/>
        <c:spPr>
          <a:solidFill>
            <a:schemeClr val="accent1">
              <a:lumMod val="5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extLst>
        </c:dLbl>
      </c:pivotFmt>
      <c:pivotFmt>
        <c:idx val="15"/>
        <c:spPr>
          <a:solidFill>
            <a:schemeClr val="accent1">
              <a:lumMod val="5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layout/>
            </c:ext>
          </c:extLst>
        </c:dLbl>
      </c:pivotFmt>
      <c:pivotFmt>
        <c:idx val="16"/>
        <c:spPr>
          <a:solidFill>
            <a:schemeClr val="accent1"/>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5="http://schemas.microsoft.com/office/drawing/2012/chart" uri="{CE6537A1-D6FC-4f65-9D91-7224C49458BB}">
              <c15:layout/>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Report'!$BP$25</c:f>
              <c:strCache>
                <c:ptCount val="1"/>
                <c:pt idx="0">
                  <c:v>Total</c:v>
                </c:pt>
              </c:strCache>
            </c:strRef>
          </c:tx>
          <c:dPt>
            <c:idx val="0"/>
            <c:bubble3D val="0"/>
            <c:spPr>
              <a:solidFill>
                <a:schemeClr val="accent1">
                  <a:lumMod val="50000"/>
                </a:schemeClr>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6-8669-4B2C-B199-212DA2305823}"/>
              </c:ext>
            </c:extLst>
          </c:dPt>
          <c:dPt>
            <c:idx val="1"/>
            <c:bubble3D val="0"/>
            <c:spPr>
              <a:solidFill>
                <a:schemeClr val="accent2"/>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8669-4B2C-B199-212DA2305823}"/>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6-8669-4B2C-B199-212DA230582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669-4B2C-B199-212DA2305823}"/>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Report'!$BO$26:$BO$28</c:f>
              <c:strCache>
                <c:ptCount val="2"/>
                <c:pt idx="0">
                  <c:v>Delay</c:v>
                </c:pt>
                <c:pt idx="1">
                  <c:v>On Time</c:v>
                </c:pt>
              </c:strCache>
            </c:strRef>
          </c:cat>
          <c:val>
            <c:numRef>
              <c:f>'Pivot Report'!$BP$26:$BP$28</c:f>
              <c:numCache>
                <c:formatCode>0.00%</c:formatCode>
                <c:ptCount val="2"/>
                <c:pt idx="0">
                  <c:v>0.61598440545808963</c:v>
                </c:pt>
                <c:pt idx="1">
                  <c:v>0.38401559454191031</c:v>
                </c:pt>
              </c:numCache>
            </c:numRef>
          </c:val>
          <c:extLst>
            <c:ext xmlns:c16="http://schemas.microsoft.com/office/drawing/2014/chart" uri="{C3380CC4-5D6E-409C-BE32-E72D297353CC}">
              <c16:uniqueId val="{00000005-8669-4B2C-B199-212DA2305823}"/>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chart>
  <c:spPr>
    <a:noFill/>
    <a:ln w="9525" cap="flat" cmpd="sng" algn="ctr">
      <a:solidFill>
        <a:schemeClr val="accent1">
          <a:lumMod val="20000"/>
          <a:lumOff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Report!PivotTable11</c:name>
    <c:fmtId val="3"/>
  </c:pivotSource>
  <c:chart>
    <c:autoTitleDeleted val="1"/>
    <c:pivotFmts>
      <c:pivotFmt>
        <c:idx val="0"/>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dLbl>
          <c:idx val="0"/>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dLbl>
          <c:idx val="0"/>
          <c:layout/>
          <c:showLegendKey val="0"/>
          <c:showVal val="0"/>
          <c:showCatName val="0"/>
          <c:showSerName val="0"/>
          <c:showPercent val="1"/>
          <c:showBubbleSize val="0"/>
          <c:extLst>
            <c:ext xmlns:c15="http://schemas.microsoft.com/office/drawing/2012/chart" uri="{CE6537A1-D6FC-4f65-9D91-7224C49458BB}">
              <c15:layout/>
            </c:ext>
          </c:extLst>
        </c:dLbl>
      </c:pivotFmt>
      <c:pivotFmt>
        <c:idx val="8"/>
      </c:pivotFmt>
      <c:pivotFmt>
        <c:idx val="9"/>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s>
    <c:plotArea>
      <c:layout>
        <c:manualLayout>
          <c:layoutTarget val="inner"/>
          <c:xMode val="edge"/>
          <c:yMode val="edge"/>
          <c:x val="0.22994989262705798"/>
          <c:y val="7.0404904920481792E-2"/>
          <c:w val="0.53236189349849061"/>
          <c:h val="0.85054371168030873"/>
        </c:manualLayout>
      </c:layout>
      <c:doughnutChart>
        <c:varyColors val="1"/>
        <c:ser>
          <c:idx val="0"/>
          <c:order val="0"/>
          <c:tx>
            <c:strRef>
              <c:f>'Pivot Report'!$BS$19</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Report'!$BR$20:$BR$22</c:f>
              <c:strCache>
                <c:ptCount val="2"/>
                <c:pt idx="0">
                  <c:v>Female</c:v>
                </c:pt>
                <c:pt idx="1">
                  <c:v>Male</c:v>
                </c:pt>
              </c:strCache>
            </c:strRef>
          </c:cat>
          <c:val>
            <c:numRef>
              <c:f>'Pivot Report'!$BS$20:$BS$22</c:f>
              <c:numCache>
                <c:formatCode>General</c:formatCode>
                <c:ptCount val="2"/>
                <c:pt idx="0">
                  <c:v>241</c:v>
                </c:pt>
                <c:pt idx="1">
                  <c:v>272</c:v>
                </c:pt>
              </c:numCache>
            </c:numRef>
          </c:val>
          <c:extLst>
            <c:ext xmlns:c16="http://schemas.microsoft.com/office/drawing/2014/chart" uri="{C3380CC4-5D6E-409C-BE32-E72D297353CC}">
              <c16:uniqueId val="{00000005-DEDF-40B6-AB4C-BC4E4612D29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7092325743764788"/>
          <c:y val="3.9334838389956481E-2"/>
          <c:w val="0.27106299212598423"/>
          <c:h val="0.19405759594735969"/>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accent1">
          <a:lumMod val="20000"/>
          <a:lumOff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Dashboard.xlsx]Pivot Report!PivotTable15</c:name>
    <c:fmtId val="6"/>
  </c:pivotSource>
  <c:chart>
    <c:autoTitleDeleted val="1"/>
    <c:pivotFmts>
      <c:pivotFmt>
        <c:idx val="0"/>
      </c:pivotFmt>
      <c:pivotFmt>
        <c:idx val="1"/>
      </c:pivotFmt>
      <c:pivotFmt>
        <c:idx val="2"/>
      </c:pivotFmt>
    </c:pivotFmts>
    <c:plotArea>
      <c:layout>
        <c:manualLayout>
          <c:layoutTarget val="inner"/>
          <c:xMode val="edge"/>
          <c:yMode val="edge"/>
          <c:x val="0.19305952302180715"/>
          <c:y val="0.16155988857938719"/>
          <c:w val="0.76410734372489153"/>
          <c:h val="0.70920185116136236"/>
        </c:manualLayout>
      </c:layout>
      <c:barChart>
        <c:barDir val="bar"/>
        <c:grouping val="clustered"/>
        <c:varyColors val="0"/>
        <c:ser>
          <c:idx val="0"/>
          <c:order val="0"/>
          <c:tx>
            <c:strRef>
              <c:f>'Pivot Report'!$CB$19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Report'!$CA$20:$CA$28</c:f>
              <c:strCache>
                <c:ptCount val="8"/>
                <c:pt idx="0">
                  <c:v>Gastroenterology</c:v>
                </c:pt>
                <c:pt idx="1">
                  <c:v>Renal</c:v>
                </c:pt>
                <c:pt idx="2">
                  <c:v>Neurology</c:v>
                </c:pt>
                <c:pt idx="3">
                  <c:v>Physiotherapy</c:v>
                </c:pt>
                <c:pt idx="4">
                  <c:v>Cardiology</c:v>
                </c:pt>
                <c:pt idx="5">
                  <c:v>Orthopedics</c:v>
                </c:pt>
                <c:pt idx="6">
                  <c:v>General Practice</c:v>
                </c:pt>
                <c:pt idx="7">
                  <c:v>None</c:v>
                </c:pt>
              </c:strCache>
            </c:strRef>
          </c:cat>
          <c:val>
            <c:numRef>
              <c:f>'Pivot Report'!$CB$20:$CB$28</c:f>
              <c:numCache>
                <c:formatCode>General</c:formatCode>
                <c:ptCount val="8"/>
                <c:pt idx="0">
                  <c:v>4</c:v>
                </c:pt>
                <c:pt idx="1">
                  <c:v>5</c:v>
                </c:pt>
                <c:pt idx="2">
                  <c:v>9</c:v>
                </c:pt>
                <c:pt idx="3">
                  <c:v>14</c:v>
                </c:pt>
                <c:pt idx="4">
                  <c:v>14</c:v>
                </c:pt>
                <c:pt idx="5">
                  <c:v>65</c:v>
                </c:pt>
                <c:pt idx="6">
                  <c:v>103</c:v>
                </c:pt>
                <c:pt idx="7">
                  <c:v>299</c:v>
                </c:pt>
              </c:numCache>
            </c:numRef>
          </c:val>
          <c:extLst>
            <c:ext xmlns:c16="http://schemas.microsoft.com/office/drawing/2014/chart" uri="{C3380CC4-5D6E-409C-BE32-E72D297353CC}">
              <c16:uniqueId val="{00000001-D20E-4543-9DA3-11842919E94C}"/>
            </c:ext>
          </c:extLst>
        </c:ser>
        <c:dLbls>
          <c:showLegendKey val="0"/>
          <c:showVal val="0"/>
          <c:showCatName val="0"/>
          <c:showSerName val="0"/>
          <c:showPercent val="0"/>
          <c:showBubbleSize val="0"/>
        </c:dLbls>
        <c:gapWidth val="115"/>
        <c:overlap val="-20"/>
        <c:axId val="96065327"/>
        <c:axId val="95701007"/>
      </c:barChart>
      <c:catAx>
        <c:axId val="9606532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5701007"/>
        <c:crosses val="autoZero"/>
        <c:auto val="1"/>
        <c:lblAlgn val="ctr"/>
        <c:lblOffset val="100"/>
        <c:noMultiLvlLbl val="0"/>
      </c:catAx>
      <c:valAx>
        <c:axId val="9570100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60653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accent1">
          <a:lumMod val="20000"/>
          <a:lumOff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2" Type="http://schemas.openxmlformats.org/officeDocument/2006/relationships/hyperlink" Target="#Sheet5!A1"/><Relationship Id="rId1" Type="http://schemas.openxmlformats.org/officeDocument/2006/relationships/chart" Target="../charts/chart11.xml"/></Relationships>
</file>

<file path=xl/drawings/_rels/drawing3.xml.rels><?xml version="1.0" encoding="UTF-8" standalone="yes"?>
<Relationships xmlns="http://schemas.openxmlformats.org/package/2006/relationships"><Relationship Id="rId2" Type="http://schemas.openxmlformats.org/officeDocument/2006/relationships/hyperlink" Target="#Sheet5!A1"/><Relationship Id="rId1"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2" Type="http://schemas.openxmlformats.org/officeDocument/2006/relationships/hyperlink" Target="#Sheet5!A1"/><Relationship Id="rId1" Type="http://schemas.openxmlformats.org/officeDocument/2006/relationships/chart" Target="../charts/chart13.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hyperlink" Target="#'Avg Wait Time Daily Trend'!A1"/><Relationship Id="rId7" Type="http://schemas.openxmlformats.org/officeDocument/2006/relationships/image" Target="../media/image1.emf"/><Relationship Id="rId12" Type="http://schemas.openxmlformats.org/officeDocument/2006/relationships/image" Target="../media/image2.jpeg"/><Relationship Id="rId2" Type="http://schemas.openxmlformats.org/officeDocument/2006/relationships/chart" Target="../charts/chart14.xml"/><Relationship Id="rId1" Type="http://schemas.openxmlformats.org/officeDocument/2006/relationships/hyperlink" Target="#'Daily ER No of Patients'!A1"/><Relationship Id="rId6" Type="http://schemas.openxmlformats.org/officeDocument/2006/relationships/chart" Target="../charts/chart16.xml"/><Relationship Id="rId11" Type="http://schemas.openxmlformats.org/officeDocument/2006/relationships/chart" Target="../charts/chart20.xml"/><Relationship Id="rId5" Type="http://schemas.openxmlformats.org/officeDocument/2006/relationships/hyperlink" Target="#'Satisfaction Score'!A1"/><Relationship Id="rId10" Type="http://schemas.openxmlformats.org/officeDocument/2006/relationships/chart" Target="../charts/chart19.xml"/><Relationship Id="rId4" Type="http://schemas.openxmlformats.org/officeDocument/2006/relationships/chart" Target="../charts/chart15.xml"/><Relationship Id="rId9" Type="http://schemas.openxmlformats.org/officeDocument/2006/relationships/chart" Target="../charts/chart1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4</xdr:col>
      <xdr:colOff>282575</xdr:colOff>
      <xdr:row>0</xdr:row>
      <xdr:rowOff>184149</xdr:rowOff>
    </xdr:from>
    <xdr:to>
      <xdr:col>9</xdr:col>
      <xdr:colOff>501650</xdr:colOff>
      <xdr:row>8</xdr:row>
      <xdr:rowOff>38100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200025</xdr:colOff>
      <xdr:row>12</xdr:row>
      <xdr:rowOff>15875</xdr:rowOff>
    </xdr:from>
    <xdr:to>
      <xdr:col>11</xdr:col>
      <xdr:colOff>504825</xdr:colOff>
      <xdr:row>26</xdr:row>
      <xdr:rowOff>180975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549275</xdr:colOff>
      <xdr:row>1</xdr:row>
      <xdr:rowOff>180975</xdr:rowOff>
    </xdr:from>
    <xdr:to>
      <xdr:col>27</xdr:col>
      <xdr:colOff>244475</xdr:colOff>
      <xdr:row>16</xdr:row>
      <xdr:rowOff>161925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806450</xdr:colOff>
      <xdr:row>18</xdr:row>
      <xdr:rowOff>25400</xdr:rowOff>
    </xdr:from>
    <xdr:to>
      <xdr:col>38</xdr:col>
      <xdr:colOff>0</xdr:colOff>
      <xdr:row>20</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45</xdr:col>
      <xdr:colOff>403225</xdr:colOff>
      <xdr:row>4</xdr:row>
      <xdr:rowOff>117475</xdr:rowOff>
    </xdr:from>
    <xdr:to>
      <xdr:col>53</xdr:col>
      <xdr:colOff>98425</xdr:colOff>
      <xdr:row>19</xdr:row>
      <xdr:rowOff>98425</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190499</xdr:colOff>
      <xdr:row>14</xdr:row>
      <xdr:rowOff>92075</xdr:rowOff>
    </xdr:from>
    <xdr:to>
      <xdr:col>62</xdr:col>
      <xdr:colOff>574674</xdr:colOff>
      <xdr:row>25</xdr:row>
      <xdr:rowOff>38100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73024</xdr:colOff>
      <xdr:row>19</xdr:row>
      <xdr:rowOff>168275</xdr:rowOff>
    </xdr:from>
    <xdr:to>
      <xdr:col>56</xdr:col>
      <xdr:colOff>139699</xdr:colOff>
      <xdr:row>34</xdr:row>
      <xdr:rowOff>149225</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65</xdr:col>
      <xdr:colOff>333375</xdr:colOff>
      <xdr:row>29</xdr:row>
      <xdr:rowOff>28575</xdr:rowOff>
    </xdr:from>
    <xdr:to>
      <xdr:col>67</xdr:col>
      <xdr:colOff>1374775</xdr:colOff>
      <xdr:row>44</xdr:row>
      <xdr:rowOff>9525</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68</xdr:col>
      <xdr:colOff>390525</xdr:colOff>
      <xdr:row>22</xdr:row>
      <xdr:rowOff>174625</xdr:rowOff>
    </xdr:from>
    <xdr:to>
      <xdr:col>73</xdr:col>
      <xdr:colOff>377825</xdr:colOff>
      <xdr:row>37</xdr:row>
      <xdr:rowOff>155575</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81</xdr:col>
      <xdr:colOff>130175</xdr:colOff>
      <xdr:row>19</xdr:row>
      <xdr:rowOff>111125</xdr:rowOff>
    </xdr:from>
    <xdr:to>
      <xdr:col>88</xdr:col>
      <xdr:colOff>434975</xdr:colOff>
      <xdr:row>34</xdr:row>
      <xdr:rowOff>92075</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80</xdr:col>
      <xdr:colOff>1592140</xdr:colOff>
      <xdr:row>35</xdr:row>
      <xdr:rowOff>30530</xdr:rowOff>
    </xdr:from>
    <xdr:to>
      <xdr:col>82</xdr:col>
      <xdr:colOff>306997</xdr:colOff>
      <xdr:row>40</xdr:row>
      <xdr:rowOff>67165</xdr:rowOff>
    </xdr:to>
    <mc:AlternateContent xmlns:mc="http://schemas.openxmlformats.org/markup-compatibility/2006">
      <mc:Choice xmlns:a14="http://schemas.microsoft.com/office/drawing/2010/main" Requires="a14">
        <xdr:graphicFrame macro="">
          <xdr:nvGraphicFramePr>
            <xdr:cNvPr id="14" name="Date (Yea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65238678" y="6441588"/>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6350</xdr:colOff>
      <xdr:row>1</xdr:row>
      <xdr:rowOff>165100</xdr:rowOff>
    </xdr:from>
    <xdr:to>
      <xdr:col>19</xdr:col>
      <xdr:colOff>6350</xdr:colOff>
      <xdr:row>16</xdr:row>
      <xdr:rowOff>158750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88900</xdr:colOff>
      <xdr:row>2</xdr:row>
      <xdr:rowOff>139700</xdr:rowOff>
    </xdr:from>
    <xdr:to>
      <xdr:col>0</xdr:col>
      <xdr:colOff>469900</xdr:colOff>
      <xdr:row>4</xdr:row>
      <xdr:rowOff>25400</xdr:rowOff>
    </xdr:to>
    <xdr:sp macro="" textlink="">
      <xdr:nvSpPr>
        <xdr:cNvPr id="4" name="Right Arrow 3">
          <a:hlinkClick xmlns:r="http://schemas.openxmlformats.org/officeDocument/2006/relationships" r:id="rId2"/>
        </xdr:cNvPr>
        <xdr:cNvSpPr/>
      </xdr:nvSpPr>
      <xdr:spPr>
        <a:xfrm>
          <a:off x="88900" y="508000"/>
          <a:ext cx="381000" cy="254000"/>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469900</xdr:colOff>
      <xdr:row>1</xdr:row>
      <xdr:rowOff>88900</xdr:rowOff>
    </xdr:from>
    <xdr:to>
      <xdr:col>18</xdr:col>
      <xdr:colOff>412750</xdr:colOff>
      <xdr:row>18</xdr:row>
      <xdr:rowOff>25400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101600</xdr:colOff>
      <xdr:row>2</xdr:row>
      <xdr:rowOff>158750</xdr:rowOff>
    </xdr:from>
    <xdr:to>
      <xdr:col>0</xdr:col>
      <xdr:colOff>450850</xdr:colOff>
      <xdr:row>4</xdr:row>
      <xdr:rowOff>57150</xdr:rowOff>
    </xdr:to>
    <xdr:sp macro="" textlink="">
      <xdr:nvSpPr>
        <xdr:cNvPr id="4" name="Right Arrow 3">
          <a:hlinkClick xmlns:r="http://schemas.openxmlformats.org/officeDocument/2006/relationships" r:id="rId2"/>
        </xdr:cNvPr>
        <xdr:cNvSpPr/>
      </xdr:nvSpPr>
      <xdr:spPr>
        <a:xfrm>
          <a:off x="101600" y="527050"/>
          <a:ext cx="349250" cy="266700"/>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120650</xdr:colOff>
      <xdr:row>2</xdr:row>
      <xdr:rowOff>120650</xdr:rowOff>
    </xdr:from>
    <xdr:to>
      <xdr:col>19</xdr:col>
      <xdr:colOff>6350</xdr:colOff>
      <xdr:row>20</xdr:row>
      <xdr:rowOff>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209550</xdr:colOff>
      <xdr:row>4</xdr:row>
      <xdr:rowOff>127000</xdr:rowOff>
    </xdr:from>
    <xdr:to>
      <xdr:col>1</xdr:col>
      <xdr:colOff>31750</xdr:colOff>
      <xdr:row>6</xdr:row>
      <xdr:rowOff>95250</xdr:rowOff>
    </xdr:to>
    <xdr:sp macro="" textlink="">
      <xdr:nvSpPr>
        <xdr:cNvPr id="4" name="Right Arrow 3">
          <a:hlinkClick xmlns:r="http://schemas.openxmlformats.org/officeDocument/2006/relationships" r:id="rId2"/>
        </xdr:cNvPr>
        <xdr:cNvSpPr/>
      </xdr:nvSpPr>
      <xdr:spPr>
        <a:xfrm>
          <a:off x="209550" y="863600"/>
          <a:ext cx="431800" cy="336550"/>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69850</xdr:colOff>
      <xdr:row>0</xdr:row>
      <xdr:rowOff>38100</xdr:rowOff>
    </xdr:from>
    <xdr:to>
      <xdr:col>19</xdr:col>
      <xdr:colOff>63500</xdr:colOff>
      <xdr:row>3</xdr:row>
      <xdr:rowOff>177800</xdr:rowOff>
    </xdr:to>
    <xdr:sp macro="" textlink="">
      <xdr:nvSpPr>
        <xdr:cNvPr id="4" name="Rectangle 3"/>
        <xdr:cNvSpPr/>
      </xdr:nvSpPr>
      <xdr:spPr>
        <a:xfrm>
          <a:off x="69850" y="38100"/>
          <a:ext cx="11576050" cy="692150"/>
        </a:xfrm>
        <a:prstGeom prst="rect">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400" b="1">
              <a:solidFill>
                <a:schemeClr val="bg1"/>
              </a:solidFill>
              <a:effectLst/>
              <a:latin typeface="+mn-lt"/>
              <a:ea typeface="+mn-ea"/>
              <a:cs typeface="+mn-cs"/>
            </a:rPr>
            <a:t>Hospital Emergency Room Dashboard</a:t>
          </a:r>
          <a:endParaRPr lang="en-IN" sz="2400" b="1">
            <a:solidFill>
              <a:schemeClr val="bg1"/>
            </a:solidFill>
            <a:effectLst/>
          </a:endParaRPr>
        </a:p>
        <a:p>
          <a:pPr algn="ctr"/>
          <a:endParaRPr lang="en-IN" sz="1100"/>
        </a:p>
      </xdr:txBody>
    </xdr:sp>
    <xdr:clientData/>
  </xdr:twoCellAnchor>
  <xdr:twoCellAnchor>
    <xdr:from>
      <xdr:col>0</xdr:col>
      <xdr:colOff>69850</xdr:colOff>
      <xdr:row>4</xdr:row>
      <xdr:rowOff>63500</xdr:rowOff>
    </xdr:from>
    <xdr:to>
      <xdr:col>1</xdr:col>
      <xdr:colOff>425450</xdr:colOff>
      <xdr:row>23</xdr:row>
      <xdr:rowOff>12700</xdr:rowOff>
    </xdr:to>
    <xdr:sp macro="" textlink="">
      <xdr:nvSpPr>
        <xdr:cNvPr id="7" name="Rectangle 6"/>
        <xdr:cNvSpPr/>
      </xdr:nvSpPr>
      <xdr:spPr>
        <a:xfrm>
          <a:off x="69850" y="800100"/>
          <a:ext cx="965200" cy="34480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63500</xdr:colOff>
      <xdr:row>4</xdr:row>
      <xdr:rowOff>57150</xdr:rowOff>
    </xdr:from>
    <xdr:to>
      <xdr:col>1</xdr:col>
      <xdr:colOff>425450</xdr:colOff>
      <xdr:row>23</xdr:row>
      <xdr:rowOff>158750</xdr:rowOff>
    </xdr:to>
    <mc:AlternateContent xmlns:mc="http://schemas.openxmlformats.org/markup-compatibility/2006">
      <mc:Choice xmlns:a14="http://schemas.microsoft.com/office/drawing/2010/main" Requires="a14">
        <xdr:graphicFrame macro="">
          <xdr:nvGraphicFramePr>
            <xdr:cNvPr id="8" name="Date (Month) 1"/>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dr:sp macro="" textlink="">
          <xdr:nvSpPr>
            <xdr:cNvPr id="0" name=""/>
            <xdr:cNvSpPr>
              <a:spLocks noTextEdit="1"/>
            </xdr:cNvSpPr>
          </xdr:nvSpPr>
          <xdr:spPr>
            <a:xfrm>
              <a:off x="63500" y="796956"/>
              <a:ext cx="972290" cy="36156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520700</xdr:colOff>
      <xdr:row>4</xdr:row>
      <xdr:rowOff>76200</xdr:rowOff>
    </xdr:from>
    <xdr:to>
      <xdr:col>4</xdr:col>
      <xdr:colOff>317500</xdr:colOff>
      <xdr:row>7</xdr:row>
      <xdr:rowOff>158750</xdr:rowOff>
    </xdr:to>
    <xdr:sp macro="" textlink="">
      <xdr:nvSpPr>
        <xdr:cNvPr id="2" name="Rectangle 1"/>
        <xdr:cNvSpPr/>
      </xdr:nvSpPr>
      <xdr:spPr>
        <a:xfrm>
          <a:off x="1130300" y="812800"/>
          <a:ext cx="1625600" cy="635000"/>
        </a:xfrm>
        <a:prstGeom prst="rect">
          <a:avLst/>
        </a:prstGeom>
        <a:noFill/>
        <a:ln>
          <a:solidFill>
            <a:schemeClr val="accent1">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444500</xdr:colOff>
      <xdr:row>4</xdr:row>
      <xdr:rowOff>82550</xdr:rowOff>
    </xdr:from>
    <xdr:to>
      <xdr:col>7</xdr:col>
      <xdr:colOff>241300</xdr:colOff>
      <xdr:row>7</xdr:row>
      <xdr:rowOff>165100</xdr:rowOff>
    </xdr:to>
    <xdr:sp macro="" textlink="">
      <xdr:nvSpPr>
        <xdr:cNvPr id="6" name="Rectangle 5"/>
        <xdr:cNvSpPr/>
      </xdr:nvSpPr>
      <xdr:spPr>
        <a:xfrm>
          <a:off x="2882900" y="819150"/>
          <a:ext cx="1625600" cy="635000"/>
        </a:xfrm>
        <a:prstGeom prst="rect">
          <a:avLst/>
        </a:prstGeom>
        <a:noFill/>
        <a:ln>
          <a:solidFill>
            <a:schemeClr val="accent1">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381000</xdr:colOff>
      <xdr:row>4</xdr:row>
      <xdr:rowOff>76200</xdr:rowOff>
    </xdr:from>
    <xdr:to>
      <xdr:col>10</xdr:col>
      <xdr:colOff>177800</xdr:colOff>
      <xdr:row>7</xdr:row>
      <xdr:rowOff>158750</xdr:rowOff>
    </xdr:to>
    <xdr:sp macro="" textlink="">
      <xdr:nvSpPr>
        <xdr:cNvPr id="9" name="Rectangle 8"/>
        <xdr:cNvSpPr/>
      </xdr:nvSpPr>
      <xdr:spPr>
        <a:xfrm>
          <a:off x="4648200" y="812800"/>
          <a:ext cx="1625600" cy="635000"/>
        </a:xfrm>
        <a:prstGeom prst="rect">
          <a:avLst/>
        </a:prstGeom>
        <a:noFill/>
        <a:ln>
          <a:solidFill>
            <a:schemeClr val="accent1">
              <a:lumMod val="20000"/>
              <a:lumOff val="8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158750</xdr:colOff>
      <xdr:row>4</xdr:row>
      <xdr:rowOff>82550</xdr:rowOff>
    </xdr:from>
    <xdr:to>
      <xdr:col>4</xdr:col>
      <xdr:colOff>146050</xdr:colOff>
      <xdr:row>5</xdr:row>
      <xdr:rowOff>101600</xdr:rowOff>
    </xdr:to>
    <xdr:sp macro="" textlink="">
      <xdr:nvSpPr>
        <xdr:cNvPr id="3" name="TextBox 2"/>
        <xdr:cNvSpPr txBox="1"/>
      </xdr:nvSpPr>
      <xdr:spPr>
        <a:xfrm>
          <a:off x="1377950" y="819150"/>
          <a:ext cx="1206500" cy="203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No.</a:t>
          </a:r>
          <a:r>
            <a:rPr lang="en-IN" sz="1100" b="1" baseline="0"/>
            <a:t> of Patient</a:t>
          </a:r>
          <a:endParaRPr lang="en-IN" sz="1100" b="1"/>
        </a:p>
      </xdr:txBody>
    </xdr:sp>
    <xdr:clientData/>
  </xdr:twoCellAnchor>
  <xdr:twoCellAnchor>
    <xdr:from>
      <xdr:col>2</xdr:col>
      <xdr:colOff>400050</xdr:colOff>
      <xdr:row>5</xdr:row>
      <xdr:rowOff>139700</xdr:rowOff>
    </xdr:from>
    <xdr:to>
      <xdr:col>3</xdr:col>
      <xdr:colOff>425450</xdr:colOff>
      <xdr:row>6</xdr:row>
      <xdr:rowOff>82550</xdr:rowOff>
    </xdr:to>
    <xdr:sp macro="" textlink="'Pivot Report'!A4">
      <xdr:nvSpPr>
        <xdr:cNvPr id="5" name="TextBox 4"/>
        <xdr:cNvSpPr txBox="1"/>
      </xdr:nvSpPr>
      <xdr:spPr>
        <a:xfrm>
          <a:off x="1619250" y="1060450"/>
          <a:ext cx="635000" cy="127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06FB06-BE73-4440-90FB-2F6E31042BBB}" type="TxLink">
            <a:rPr lang="en-US" sz="1400" b="1" i="0" u="none" strike="noStrike">
              <a:solidFill>
                <a:srgbClr val="000000"/>
              </a:solidFill>
              <a:latin typeface="Calibri"/>
              <a:ea typeface="Calibri"/>
              <a:cs typeface="Calibri"/>
            </a:rPr>
            <a:pPr algn="ctr"/>
            <a:t>513</a:t>
          </a:fld>
          <a:endParaRPr lang="en-IN" sz="1400" b="1"/>
        </a:p>
      </xdr:txBody>
    </xdr:sp>
    <xdr:clientData/>
  </xdr:twoCellAnchor>
  <xdr:twoCellAnchor>
    <xdr:from>
      <xdr:col>1</xdr:col>
      <xdr:colOff>488950</xdr:colOff>
      <xdr:row>5</xdr:row>
      <xdr:rowOff>114300</xdr:rowOff>
    </xdr:from>
    <xdr:to>
      <xdr:col>4</xdr:col>
      <xdr:colOff>361950</xdr:colOff>
      <xdr:row>8</xdr:row>
      <xdr:rowOff>114300</xdr:rowOff>
    </xdr:to>
    <xdr:graphicFrame macro="">
      <xdr:nvGraphicFramePr>
        <xdr:cNvPr id="10" name="Chart 9">
          <a:hlinkClick xmlns:r="http://schemas.openxmlformats.org/officeDocument/2006/relationships" r:id="rId1"/>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25400</xdr:colOff>
      <xdr:row>4</xdr:row>
      <xdr:rowOff>95250</xdr:rowOff>
    </xdr:from>
    <xdr:to>
      <xdr:col>7</xdr:col>
      <xdr:colOff>12700</xdr:colOff>
      <xdr:row>5</xdr:row>
      <xdr:rowOff>114300</xdr:rowOff>
    </xdr:to>
    <xdr:sp macro="" textlink="">
      <xdr:nvSpPr>
        <xdr:cNvPr id="11" name="TextBox 10"/>
        <xdr:cNvSpPr txBox="1"/>
      </xdr:nvSpPr>
      <xdr:spPr>
        <a:xfrm>
          <a:off x="3073400" y="831850"/>
          <a:ext cx="1206500" cy="203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Avg</a:t>
          </a:r>
          <a:r>
            <a:rPr lang="en-IN" sz="1100" b="1" baseline="0"/>
            <a:t> Wait Time</a:t>
          </a:r>
          <a:endParaRPr lang="en-IN" sz="1100" b="1"/>
        </a:p>
      </xdr:txBody>
    </xdr:sp>
    <xdr:clientData/>
  </xdr:twoCellAnchor>
  <xdr:twoCellAnchor>
    <xdr:from>
      <xdr:col>5</xdr:col>
      <xdr:colOff>317500</xdr:colOff>
      <xdr:row>5</xdr:row>
      <xdr:rowOff>146050</xdr:rowOff>
    </xdr:from>
    <xdr:to>
      <xdr:col>6</xdr:col>
      <xdr:colOff>342900</xdr:colOff>
      <xdr:row>6</xdr:row>
      <xdr:rowOff>88900</xdr:rowOff>
    </xdr:to>
    <xdr:sp macro="" textlink="'Pivot Report'!A10">
      <xdr:nvSpPr>
        <xdr:cNvPr id="12" name="TextBox 11"/>
        <xdr:cNvSpPr txBox="1"/>
      </xdr:nvSpPr>
      <xdr:spPr>
        <a:xfrm>
          <a:off x="3365500" y="1066800"/>
          <a:ext cx="635000" cy="127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6D6E03-D9A5-436F-8C9C-8F086B00360B}" type="TxLink">
            <a:rPr lang="en-US" sz="1400" b="1" i="0" u="none" strike="noStrike">
              <a:solidFill>
                <a:srgbClr val="000000"/>
              </a:solidFill>
              <a:latin typeface="Calibri"/>
              <a:ea typeface="Calibri"/>
              <a:cs typeface="Calibri"/>
            </a:rPr>
            <a:t>36.32</a:t>
          </a:fld>
          <a:endParaRPr lang="en-IN" sz="1800" b="1"/>
        </a:p>
      </xdr:txBody>
    </xdr:sp>
    <xdr:clientData/>
  </xdr:twoCellAnchor>
  <xdr:twoCellAnchor>
    <xdr:from>
      <xdr:col>4</xdr:col>
      <xdr:colOff>304800</xdr:colOff>
      <xdr:row>5</xdr:row>
      <xdr:rowOff>171451</xdr:rowOff>
    </xdr:from>
    <xdr:to>
      <xdr:col>7</xdr:col>
      <xdr:colOff>241300</xdr:colOff>
      <xdr:row>8</xdr:row>
      <xdr:rowOff>133351</xdr:rowOff>
    </xdr:to>
    <xdr:graphicFrame macro="">
      <xdr:nvGraphicFramePr>
        <xdr:cNvPr id="13" name="Chart 12">
          <a:hlinkClick xmlns:r="http://schemas.openxmlformats.org/officeDocument/2006/relationships" r:id="rId3"/>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546100</xdr:colOff>
      <xdr:row>4</xdr:row>
      <xdr:rowOff>101600</xdr:rowOff>
    </xdr:from>
    <xdr:to>
      <xdr:col>10</xdr:col>
      <xdr:colOff>12700</xdr:colOff>
      <xdr:row>5</xdr:row>
      <xdr:rowOff>114300</xdr:rowOff>
    </xdr:to>
    <xdr:sp macro="" textlink="">
      <xdr:nvSpPr>
        <xdr:cNvPr id="14" name="TextBox 13"/>
        <xdr:cNvSpPr txBox="1"/>
      </xdr:nvSpPr>
      <xdr:spPr>
        <a:xfrm>
          <a:off x="4813300" y="838200"/>
          <a:ext cx="1295400" cy="1968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Satisfaction</a:t>
          </a:r>
          <a:r>
            <a:rPr lang="en-IN" sz="1100" b="1" baseline="0"/>
            <a:t> Score</a:t>
          </a:r>
          <a:endParaRPr lang="en-IN" sz="1100" b="1"/>
        </a:p>
      </xdr:txBody>
    </xdr:sp>
    <xdr:clientData/>
  </xdr:twoCellAnchor>
  <xdr:twoCellAnchor>
    <xdr:from>
      <xdr:col>8</xdr:col>
      <xdr:colOff>215900</xdr:colOff>
      <xdr:row>5</xdr:row>
      <xdr:rowOff>152400</xdr:rowOff>
    </xdr:from>
    <xdr:to>
      <xdr:col>9</xdr:col>
      <xdr:colOff>241300</xdr:colOff>
      <xdr:row>6</xdr:row>
      <xdr:rowOff>95250</xdr:rowOff>
    </xdr:to>
    <xdr:sp macro="" textlink="'Pivot Report'!A16">
      <xdr:nvSpPr>
        <xdr:cNvPr id="15" name="TextBox 14"/>
        <xdr:cNvSpPr txBox="1"/>
      </xdr:nvSpPr>
      <xdr:spPr>
        <a:xfrm>
          <a:off x="5092700" y="1073150"/>
          <a:ext cx="635000" cy="127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97E8FC4-E479-4BB3-B50B-6C2570357BD5}" type="TxLink">
            <a:rPr lang="en-US" sz="1400" b="1" i="0" u="none" strike="noStrike">
              <a:solidFill>
                <a:srgbClr val="000000"/>
              </a:solidFill>
              <a:latin typeface="Calibri"/>
              <a:ea typeface="Calibri"/>
              <a:cs typeface="Calibri"/>
            </a:rPr>
            <a:t>4.96</a:t>
          </a:fld>
          <a:endParaRPr lang="en-IN" sz="2400" b="1"/>
        </a:p>
      </xdr:txBody>
    </xdr:sp>
    <xdr:clientData/>
  </xdr:twoCellAnchor>
  <xdr:twoCellAnchor>
    <xdr:from>
      <xdr:col>7</xdr:col>
      <xdr:colOff>247650</xdr:colOff>
      <xdr:row>4</xdr:row>
      <xdr:rowOff>107950</xdr:rowOff>
    </xdr:from>
    <xdr:to>
      <xdr:col>10</xdr:col>
      <xdr:colOff>190500</xdr:colOff>
      <xdr:row>8</xdr:row>
      <xdr:rowOff>50800</xdr:rowOff>
    </xdr:to>
    <xdr:graphicFrame macro="">
      <xdr:nvGraphicFramePr>
        <xdr:cNvPr id="16" name="Chart 15">
          <a:hlinkClick xmlns:r="http://schemas.openxmlformats.org/officeDocument/2006/relationships" r:id="rId5"/>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mc:AlternateContent xmlns:mc="http://schemas.openxmlformats.org/markup-compatibility/2006">
    <mc:Choice xmlns:a14="http://schemas.microsoft.com/office/drawing/2010/main" Requires="a14">
      <xdr:twoCellAnchor editAs="oneCell">
        <xdr:from>
          <xdr:col>10</xdr:col>
          <xdr:colOff>317500</xdr:colOff>
          <xdr:row>4</xdr:row>
          <xdr:rowOff>101600</xdr:rowOff>
        </xdr:from>
        <xdr:to>
          <xdr:col>19</xdr:col>
          <xdr:colOff>69850</xdr:colOff>
          <xdr:row>7</xdr:row>
          <xdr:rowOff>152399</xdr:rowOff>
        </xdr:to>
        <xdr:pic>
          <xdr:nvPicPr>
            <xdr:cNvPr id="17" name="Picture 16"/>
            <xdr:cNvPicPr>
              <a:picLocks noChangeAspect="1" noChangeArrowheads="1"/>
              <a:extLst>
                <a:ext uri="{84589F7E-364E-4C9E-8A38-B11213B215E9}">
                  <a14:cameraTool cellRange="'Pivot Report'!$AG$18:$AL$20" spid="_x0000_s7175"/>
                </a:ext>
              </a:extLst>
            </xdr:cNvPicPr>
          </xdr:nvPicPr>
          <xdr:blipFill>
            <a:blip xmlns:r="http://schemas.openxmlformats.org/officeDocument/2006/relationships" r:embed="rId7"/>
            <a:srcRect/>
            <a:stretch>
              <a:fillRect/>
            </a:stretch>
          </xdr:blipFill>
          <xdr:spPr bwMode="auto">
            <a:xfrm>
              <a:off x="6413500" y="838200"/>
              <a:ext cx="5238750" cy="603249"/>
            </a:xfrm>
            <a:prstGeom prst="rect">
              <a:avLst/>
            </a:prstGeom>
            <a:solidFill>
              <a:srgbClr val="FFFFFF">
                <a:shade val="85000"/>
              </a:srgbClr>
            </a:solid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a:extLst>
              <a:ext uri="{909E8E84-426E-40DD-AFC4-6F175D3DCCD1}">
                <a14:hiddenFill>
                  <a:solidFill>
                    <a:srgbClr val="FFFFFF"/>
                  </a:solidFill>
                </a14:hiddenFill>
              </a:ext>
            </a:extLst>
          </xdr:spPr>
        </xdr:pic>
        <xdr:clientData/>
      </xdr:twoCellAnchor>
    </mc:Choice>
    <mc:Fallback/>
  </mc:AlternateContent>
  <xdr:twoCellAnchor>
    <xdr:from>
      <xdr:col>1</xdr:col>
      <xdr:colOff>508000</xdr:colOff>
      <xdr:row>8</xdr:row>
      <xdr:rowOff>82550</xdr:rowOff>
    </xdr:from>
    <xdr:to>
      <xdr:col>10</xdr:col>
      <xdr:colOff>241300</xdr:colOff>
      <xdr:row>18</xdr:row>
      <xdr:rowOff>50800</xdr:rowOff>
    </xdr:to>
    <xdr:graphicFrame macro="">
      <xdr:nvGraphicFramePr>
        <xdr:cNvPr id="18" name="Chart 1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361950</xdr:colOff>
      <xdr:row>8</xdr:row>
      <xdr:rowOff>88900</xdr:rowOff>
    </xdr:from>
    <xdr:to>
      <xdr:col>7</xdr:col>
      <xdr:colOff>393700</xdr:colOff>
      <xdr:row>9</xdr:row>
      <xdr:rowOff>63500</xdr:rowOff>
    </xdr:to>
    <xdr:sp macro="" textlink="">
      <xdr:nvSpPr>
        <xdr:cNvPr id="19" name="TextBox 18"/>
        <xdr:cNvSpPr txBox="1"/>
      </xdr:nvSpPr>
      <xdr:spPr>
        <a:xfrm>
          <a:off x="2800350" y="1562100"/>
          <a:ext cx="1860550" cy="158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No.</a:t>
          </a:r>
          <a:r>
            <a:rPr lang="en-IN" sz="1100" b="1" baseline="0"/>
            <a:t> of Patient by Age group</a:t>
          </a:r>
          <a:endParaRPr lang="en-IN" sz="1100" b="1"/>
        </a:p>
      </xdr:txBody>
    </xdr:sp>
    <xdr:clientData/>
  </xdr:twoCellAnchor>
  <xdr:twoCellAnchor>
    <xdr:from>
      <xdr:col>10</xdr:col>
      <xdr:colOff>304800</xdr:colOff>
      <xdr:row>8</xdr:row>
      <xdr:rowOff>82550</xdr:rowOff>
    </xdr:from>
    <xdr:to>
      <xdr:col>19</xdr:col>
      <xdr:colOff>107950</xdr:colOff>
      <xdr:row>18</xdr:row>
      <xdr:rowOff>63500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514350</xdr:colOff>
      <xdr:row>18</xdr:row>
      <xdr:rowOff>127000</xdr:rowOff>
    </xdr:from>
    <xdr:to>
      <xdr:col>10</xdr:col>
      <xdr:colOff>241300</xdr:colOff>
      <xdr:row>29</xdr:row>
      <xdr:rowOff>25400</xdr:rowOff>
    </xdr:to>
    <xdr:graphicFrame macro="">
      <xdr:nvGraphicFramePr>
        <xdr:cNvPr id="21" name="Chart 2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311150</xdr:colOff>
      <xdr:row>18</xdr:row>
      <xdr:rowOff>127000</xdr:rowOff>
    </xdr:from>
    <xdr:to>
      <xdr:col>19</xdr:col>
      <xdr:colOff>120650</xdr:colOff>
      <xdr:row>29</xdr:row>
      <xdr:rowOff>25400</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501650</xdr:colOff>
      <xdr:row>18</xdr:row>
      <xdr:rowOff>152400</xdr:rowOff>
    </xdr:from>
    <xdr:to>
      <xdr:col>16</xdr:col>
      <xdr:colOff>139700</xdr:colOff>
      <xdr:row>20</xdr:row>
      <xdr:rowOff>19050</xdr:rowOff>
    </xdr:to>
    <xdr:sp macro="" textlink="">
      <xdr:nvSpPr>
        <xdr:cNvPr id="24" name="TextBox 23"/>
        <xdr:cNvSpPr txBox="1"/>
      </xdr:nvSpPr>
      <xdr:spPr>
        <a:xfrm>
          <a:off x="8426450" y="3467100"/>
          <a:ext cx="1466850" cy="2349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Department Referral</a:t>
          </a:r>
        </a:p>
      </xdr:txBody>
    </xdr:sp>
    <xdr:clientData/>
  </xdr:twoCellAnchor>
  <xdr:twoCellAnchor>
    <xdr:from>
      <xdr:col>1</xdr:col>
      <xdr:colOff>603250</xdr:colOff>
      <xdr:row>19</xdr:row>
      <xdr:rowOff>0</xdr:rowOff>
    </xdr:from>
    <xdr:to>
      <xdr:col>4</xdr:col>
      <xdr:colOff>241300</xdr:colOff>
      <xdr:row>20</xdr:row>
      <xdr:rowOff>50800</xdr:rowOff>
    </xdr:to>
    <xdr:sp macro="" textlink="">
      <xdr:nvSpPr>
        <xdr:cNvPr id="27" name="TextBox 26"/>
        <xdr:cNvSpPr txBox="1"/>
      </xdr:nvSpPr>
      <xdr:spPr>
        <a:xfrm>
          <a:off x="1212850" y="3498850"/>
          <a:ext cx="1466850" cy="2349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t>Gender Wise Analysis</a:t>
          </a:r>
        </a:p>
      </xdr:txBody>
    </xdr:sp>
    <xdr:clientData/>
  </xdr:twoCellAnchor>
  <xdr:twoCellAnchor editAs="oneCell">
    <xdr:from>
      <xdr:col>0</xdr:col>
      <xdr:colOff>69850</xdr:colOff>
      <xdr:row>24</xdr:row>
      <xdr:rowOff>19050</xdr:rowOff>
    </xdr:from>
    <xdr:to>
      <xdr:col>1</xdr:col>
      <xdr:colOff>476250</xdr:colOff>
      <xdr:row>29</xdr:row>
      <xdr:rowOff>12700</xdr:rowOff>
    </xdr:to>
    <mc:AlternateContent xmlns:mc="http://schemas.openxmlformats.org/markup-compatibility/2006">
      <mc:Choice xmlns:a14="http://schemas.microsoft.com/office/drawing/2010/main" Requires="a14">
        <xdr:graphicFrame macro="">
          <xdr:nvGraphicFramePr>
            <xdr:cNvPr id="29" name="Date (Year) 1"/>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dr:sp macro="" textlink="">
          <xdr:nvSpPr>
            <xdr:cNvPr id="0" name=""/>
            <xdr:cNvSpPr>
              <a:spLocks noTextEdit="1"/>
            </xdr:cNvSpPr>
          </xdr:nvSpPr>
          <xdr:spPr>
            <a:xfrm>
              <a:off x="69850" y="4457885"/>
              <a:ext cx="1016740" cy="9184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533400</xdr:colOff>
      <xdr:row>0</xdr:row>
      <xdr:rowOff>82550</xdr:rowOff>
    </xdr:from>
    <xdr:to>
      <xdr:col>2</xdr:col>
      <xdr:colOff>69850</xdr:colOff>
      <xdr:row>3</xdr:row>
      <xdr:rowOff>107950</xdr:rowOff>
    </xdr:to>
    <xdr:pic>
      <xdr:nvPicPr>
        <xdr:cNvPr id="25" name="Picture 24"/>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33400" y="82550"/>
          <a:ext cx="755650" cy="577850"/>
        </a:xfrm>
        <a:prstGeom prst="roundRect">
          <a:avLst>
            <a:gd name="adj" fmla="val 8594"/>
          </a:avLst>
        </a:prstGeom>
        <a:solidFill>
          <a:srgbClr val="FFFFFF">
            <a:shade val="85000"/>
          </a:srgbClr>
        </a:solidFill>
        <a:ln>
          <a:noFill/>
        </a:ln>
        <a:effectLst>
          <a:reflection blurRad="12700" stA="38000" endPos="28000" dist="5000" dir="5400000" sy="-100000" algn="bl" rotWithShape="0"/>
        </a:effectLst>
      </xdr:spPr>
    </xdr:pic>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DELL" refreshedDate="46204.423700694446" createdVersion="6" refreshedVersion="6" minRefreshableVersion="3" recordCount="0" supportSubquery="1" supportAdvancedDrill="1">
  <cacheSource type="external" connectionId="3"/>
  <cacheFields count="3">
    <cacheField name="[Hospital Emergency Room Data].[Patient Gender].[Patient Gender]" caption="Patient Gender" numFmtId="0" hierarchy="13" level="1">
      <sharedItems count="2">
        <s v="Female"/>
        <s v="Male"/>
      </sharedItems>
    </cacheField>
    <cacheField name="[Measures].[Count of Patient Gender]" caption="Count of Patient Gender" numFmtId="0" hierarchy="31" level="32767"/>
    <cacheField name="[Calendar_Table].[Date (Year)].[Date (Year)]" caption="Date (Year)" numFmtId="0" hierarchy="4"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0"/>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DELL" refreshedDate="46204.423704629633" createdVersion="6" refreshedVersion="6" minRefreshableVersion="3" recordCount="0" supportSubquery="1" supportAdvancedDrill="1">
  <cacheSource type="external" connectionId="3"/>
  <cacheFields count="4">
    <cacheField name="[Hospital Emergency Room Data].[Patient Admission Flag].[Patient Admission Flag]" caption="Patient Admission Flag" numFmtId="0" hierarchy="9" level="1">
      <sharedItems count="2">
        <s v="Admitted"/>
        <s v="Not Admitted"/>
      </sharedItems>
    </cacheField>
    <cacheField name="[Measures].[Count of Patient Admission Flag]" caption="Count of Patient Admission Flag" numFmtId="0" hierarchy="29" level="32767"/>
    <cacheField name="[Calendar_Table].[Date (Year)].[Date (Year)]" caption="Date (Year)" numFmtId="0" hierarchy="4" level="1">
      <sharedItems containsSemiMixedTypes="0" containsNonDate="0" containsString="0"/>
    </cacheField>
    <cacheField name="Dummy0" numFmtId="0" hierarchy="36" level="32767">
      <extLst>
        <ext xmlns:x14="http://schemas.microsoft.com/office/spreadsheetml/2009/9/main" uri="{63CAB8AC-B538-458d-9737-405883B0398D}">
          <x14:cacheField ignore="1"/>
        </ext>
      </extLst>
    </cacheField>
  </cacheFields>
  <cacheHierarchies count="37">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0"/>
      </fieldsUsage>
    </cacheHierarchy>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DELL" refreshedDate="46204.423705092595" createdVersion="6" refreshedVersion="6" minRefreshableVersion="3" recordCount="0" supportSubquery="1" supportAdvancedDrill="1">
  <cacheSource type="external" connectionId="3"/>
  <cacheFields count="3">
    <cacheField name="[Hospital Emergency Room Data].[Age Group].[Age Group]" caption="Age Group" numFmtId="0" hierarchy="5" level="1">
      <sharedItems count="8">
        <s v="0-09"/>
        <s v="10-19"/>
        <s v="20-29"/>
        <s v="30-39"/>
        <s v="40-49"/>
        <s v="50-59"/>
        <s v="60-69"/>
        <s v="70-79"/>
      </sharedItems>
    </cacheField>
    <cacheField name="[Measures].[Count of Age Group]" caption="Count of Age Group" numFmtId="0" hierarchy="30" level="32767"/>
    <cacheField name="[Calendar_Table].[Date (Year)].[Date (Year)]" caption="Date (Year)" numFmtId="0" hierarchy="4"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0"/>
      </fieldsUsage>
    </cacheHierarchy>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oneField="1" hidden="1">
      <fieldsUsage count="1">
        <fieldUsage x="1"/>
      </fieldsUsage>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DELL" refreshedDate="46204.423706712965" createdVersion="6" refreshedVersion="6" minRefreshableVersion="3" recordCount="0" supportSubquery="1" supportAdvancedDrill="1">
  <cacheSource type="external" connectionId="3"/>
  <cacheFields count="3">
    <cacheField name="[Hospital Emergency Room Data].[Patient Attend Status].[Patient Attend Status]" caption="Patient Attend Status" numFmtId="0" hierarchy="12" level="1">
      <sharedItems count="2">
        <s v="Delay"/>
        <s v="On Time"/>
      </sharedItems>
    </cacheField>
    <cacheField name="[Measures].[Count of Patient Id]" caption="Count of Patient Id" numFmtId="0" hierarchy="23" level="32767"/>
    <cacheField name="[Calendar_Table].[Date (Year)].[Date (Year)]" caption="Date (Year)" numFmtId="0" hierarchy="4"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2"/>
      </fieldsUsage>
    </cacheHierarchy>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0"/>
      </fieldsUsage>
    </cacheHierarchy>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1"/>
      </fieldsUsage>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DELL" refreshedDate="46204.423742013889" createdVersion="6" refreshedVersion="6" minRefreshableVersion="3" recordCount="0" supportSubquery="1" supportAdvancedDrill="1">
  <cacheSource type="external" connectionId="3"/>
  <cacheFields count="3">
    <cacheField name="[Measures].[Distinct Count of Patient Id]" caption="Distinct Count of Patient Id" numFmtId="0" hierarchy="24" level="32767"/>
    <cacheField name="[Calendar_Table].[Date (Day)].[Date (Day)]" caption="Date (Day)" numFmtId="0" hierarchy="1"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ar_Table].[Date (Month)].[Date (Month)]" caption="Date (Month)" numFmtId="0" hierarchy="2"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DELL" refreshedDate="46204.423742245373" createdVersion="6" refreshedVersion="6" minRefreshableVersion="3" recordCount="0" supportSubquery="1" supportAdvancedDrill="1">
  <cacheSource type="external" connectionId="3"/>
  <cacheFields count="2">
    <cacheField name="[Measures].[Distinct Count of Patient Id]" caption="Distinct Count of Patient Id" numFmtId="0" hierarchy="24" level="32767"/>
    <cacheField name="[Calendar_Table].[Date (Month)].[Date (Month)]" caption="Date (Month)" numFmtId="0" hierarchy="2"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DELL" refreshedDate="46204.423742361112" createdVersion="6" refreshedVersion="6" minRefreshableVersion="3" recordCount="0" supportSubquery="1" supportAdvancedDrill="1">
  <cacheSource type="external" connectionId="3"/>
  <cacheFields count="2">
    <cacheField name="[Measures].[Average of Patient Waittime]" caption="Average of Patient Waittime" numFmtId="0" hierarchy="26" level="32767"/>
    <cacheField name="[Calendar_Table].[Date (Month)].[Date (Month)]" caption="Date (Month)" numFmtId="0" hierarchy="2"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DELL" refreshedDate="46204.423742592589" createdVersion="6" refreshedVersion="6" minRefreshableVersion="3" recordCount="0" supportSubquery="1" supportAdvancedDrill="1">
  <cacheSource type="external" connectionId="3"/>
  <cacheFields count="2">
    <cacheField name="[Measures].[Average of Patient Satisfaction Score]" caption="Average of Patient Satisfaction Score" numFmtId="0" hierarchy="28" level="32767"/>
    <cacheField name="[Calendar_Table].[Date (Month)].[Date (Month)]" caption="Date (Month)" numFmtId="0" hierarchy="2" level="1">
      <sharedItems containsSemiMixedTypes="0" containsNonDate="0" containsString="0"/>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DELL" refreshedDate="46204.423742939813" createdVersion="6" refreshedVersion="6" minRefreshableVersion="3" recordCount="0" supportSubquery="1" supportAdvancedDrill="1">
  <cacheSource type="external" connectionId="3"/>
  <cacheFields count="3">
    <cacheField name="[Calendar_Table].[Date (Day)].[Date (Day)]" caption="Date (Day)" numFmtId="0" hierarchy="1"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ar_Table].[Date (Month)].[Date (Month)]" caption="Date (Month)" numFmtId="0" hierarchy="2" level="1">
      <sharedItems containsSemiMixedTypes="0" containsNonDate="0" containsString="0"/>
    </cacheField>
    <cacheField name="[Measures].[Average of Patient Waittime]" caption="Average of Patient Waittime" numFmtId="0" hierarchy="26" level="32767"/>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DELL" refreshedDate="46204.42374351852" createdVersion="6" refreshedVersion="6" minRefreshableVersion="3" recordCount="0" supportSubquery="1" supportAdvancedDrill="1">
  <cacheSource type="external" connectionId="3"/>
  <cacheFields count="3">
    <cacheField name="[Calendar_Table].[Date (Day)].[Date (Day)]" caption="Date (Day)" numFmtId="0" hierarchy="1" level="1">
      <sharedItems count="31">
        <s v="1-Jan"/>
        <s v="2-Jan"/>
        <s v="3-Jan"/>
        <s v="4-Jan"/>
        <s v="5-Jan"/>
        <s v="6-Jan"/>
        <s v="7-Jan"/>
        <s v="8-Jan"/>
        <s v="9-Jan"/>
        <s v="10-Jan"/>
        <s v="11-Jan"/>
        <s v="12-Jan"/>
        <s v="13-Jan"/>
        <s v="14-Jan"/>
        <s v="15-Jan"/>
        <s v="16-Jan"/>
        <s v="17-Jan"/>
        <s v="18-Jan"/>
        <s v="19-Jan"/>
        <s v="20-Jan"/>
        <s v="21-Jan"/>
        <s v="22-Jan"/>
        <s v="23-Jan"/>
        <s v="24-Jan"/>
        <s v="25-Jan"/>
        <s v="26-Jan"/>
        <s v="27-Jan"/>
        <s v="28-Jan"/>
        <s v="29-Jan"/>
        <s v="30-Jan"/>
        <s v="31-Jan"/>
      </sharedItems>
    </cacheField>
    <cacheField name="[Calendar_Table].[Date (Month)].[Date (Month)]" caption="Date (Month)" numFmtId="0" hierarchy="2" level="1">
      <sharedItems containsSemiMixedTypes="0" containsNonDate="0" containsString="0"/>
    </cacheField>
    <cacheField name="[Measures].[Average of Patient Satisfaction Score]" caption="Average of Patient Satisfaction Score" numFmtId="0" hierarchy="28" level="32767"/>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DELL" refreshedDate="46204.423743981482" createdVersion="6" refreshedVersion="6" minRefreshableVersion="3" recordCount="0" supportSubquery="1" supportAdvancedDrill="1">
  <cacheSource type="external" connectionId="3"/>
  <cacheFields count="3">
    <cacheField name="[Calendar_Table].[Date (Month)].[Date (Month)]" caption="Date (Month)" numFmtId="0" hierarchy="2" level="1">
      <sharedItems containsSemiMixedTypes="0" containsNonDate="0" containsString="0"/>
    </cacheField>
    <cacheField name="[Hospital Emergency Room Data].[Patient Gender].[Patient Gender]" caption="Patient Gender" numFmtId="0" hierarchy="13" level="1">
      <sharedItems count="2">
        <s v="Female"/>
        <s v="Male"/>
      </sharedItems>
    </cacheField>
    <cacheField name="[Measures].[Count of Patient Gender]" caption="Count of Patient Gender" numFmtId="0" hierarchy="31" level="32767"/>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DELL" refreshedDate="46204.423744328706" createdVersion="6" refreshedVersion="6" minRefreshableVersion="3" recordCount="0" supportSubquery="1" supportAdvancedDrill="1">
  <cacheSource type="external" connectionId="3"/>
  <cacheFields count="3">
    <cacheField name="[Calendar_Table].[Date (Month)].[Date (Month)]" caption="Date (Month)" numFmtId="0" hierarchy="2" level="1">
      <sharedItems containsSemiMixedTypes="0" containsNonDate="0" containsString="0"/>
    </cacheField>
    <cacheField name="[Hospital Emergency Room Data].[Patient Attend Status].[Patient Attend Status]" caption="Patient Attend Status" numFmtId="0" hierarchy="12" level="1">
      <sharedItems count="2">
        <s v="Delay"/>
        <s v="On Time"/>
      </sharedItems>
    </cacheField>
    <cacheField name="[Measures].[Count of Patient Attend Status]" caption="Count of Patient Attend Status" numFmtId="0" hierarchy="32" level="32767"/>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saveData="0" refreshedBy="DELL" refreshedDate="46204.423744791668" createdVersion="6" refreshedVersion="6" minRefreshableVersion="3" recordCount="0" supportSubquery="1" supportAdvancedDrill="1">
  <cacheSource type="external" connectionId="3"/>
  <cacheFields count="4">
    <cacheField name="[Calendar_Table].[Date (Month)].[Date (Month)]" caption="Date (Month)" numFmtId="0" hierarchy="2" level="1">
      <sharedItems containsSemiMixedTypes="0" containsNonDate="0" containsString="0"/>
    </cacheField>
    <cacheField name="[Hospital Emergency Room Data].[Patient Admission Flag].[Patient Admission Flag]" caption="Patient Admission Flag" numFmtId="0" hierarchy="9" level="1">
      <sharedItems count="2">
        <s v="Admitted"/>
        <s v="Not Admitted"/>
      </sharedItems>
    </cacheField>
    <cacheField name="[Measures].[Count of Patient Admission Flag]" caption="Count of Patient Admission Flag" numFmtId="0" hierarchy="29" level="32767"/>
    <cacheField name="Dummy0" numFmtId="0" hierarchy="36" level="32767">
      <extLst>
        <ext xmlns:x14="http://schemas.microsoft.com/office/spreadsheetml/2009/9/main" uri="{63CAB8AC-B538-458d-9737-405883B0398D}">
          <x14:cacheField ignore="1"/>
        </ext>
      </extLst>
    </cacheField>
  </cacheFields>
  <cacheHierarchies count="37">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1"/>
      </fieldsUsage>
    </cacheHierarchy>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y uniqueName="Dummy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saveData="0" refreshedBy="DELL" refreshedDate="46204.423745138891" createdVersion="6" refreshedVersion="6" minRefreshableVersion="3" recordCount="0" supportSubquery="1" supportAdvancedDrill="1">
  <cacheSource type="external" connectionId="3"/>
  <cacheFields count="3">
    <cacheField name="[Calendar_Table].[Date (Month)].[Date (Month)]" caption="Date (Month)" numFmtId="0" hierarchy="2" level="1">
      <sharedItems containsSemiMixedTypes="0" containsNonDate="0" containsString="0"/>
    </cacheField>
    <cacheField name="[Hospital Emergency Room Data].[Age Group].[Age Group]" caption="Age Group" numFmtId="0" hierarchy="5" level="1">
      <sharedItems count="8">
        <s v="0-09"/>
        <s v="10-19"/>
        <s v="20-29"/>
        <s v="30-39"/>
        <s v="40-49"/>
        <s v="50-59"/>
        <s v="60-69"/>
        <s v="70-79"/>
      </sharedItems>
    </cacheField>
    <cacheField name="[Measures].[Count of Patient Id]" caption="Count of Patient Id" numFmtId="0" hierarchy="23" level="32767"/>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saveData="0" refreshedBy="DELL" refreshedDate="46204.423745486114" createdVersion="6" refreshedVersion="6" minRefreshableVersion="3" recordCount="0" supportSubquery="1" supportAdvancedDrill="1">
  <cacheSource type="external" connectionId="3"/>
  <cacheFields count="3">
    <cacheField name="[Calendar_Table].[Date (Month)].[Date (Month)]" caption="Date (Month)" numFmtId="0" hierarchy="2" level="1">
      <sharedItems containsSemiMixedTypes="0" containsNonDate="0" containsString="0"/>
    </cacheField>
    <cacheField name="[Measures].[Count of Department Referral]" caption="Count of Department Referral" numFmtId="0" hierarchy="34" level="32767"/>
    <cacheField name="[Hospital Emergency Room Data].[Department Referral].[Department Referral]" caption="Department Referral" numFmtId="0" hierarchy="6" level="1">
      <sharedItems count="8">
        <s v="Cardiology"/>
        <s v="Gastroenterology"/>
        <s v="General Practice"/>
        <s v="Neurology"/>
        <s v="None"/>
        <s v="Orthopedics"/>
        <s v="Physiotherapy"/>
        <s v="Renal"/>
      </sharedItems>
    </cacheField>
  </cacheFields>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2"/>
      </fieldsUsage>
    </cacheHierarchy>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saveData="0" refreshedBy="DELL" refreshedDate="46204.42374583333" createdVersion="6" refreshedVersion="6" minRefreshableVersion="3" recordCount="0" supportSubquery="1" supportAdvancedDrill="1">
  <cacheSource type="external" connectionId="3"/>
  <cacheFields count="4">
    <cacheField name="[Calendar_Table].[Date (Month)].[Date (Month)]" caption="Date (Month)" numFmtId="0" hierarchy="2" level="1">
      <sharedItems containsNonDate="0" count="1">
        <s v="Jan"/>
      </sharedItems>
    </cacheField>
    <cacheField name="[Calendar_Table].[Date].[Date]" caption="Date" numFmtId="0" level="1">
      <sharedItems containsSemiMixedTypes="0" containsNonDate="0" containsDate="1" containsString="0" count="62">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cacheField>
    <cacheField name="[Calendar_Table].[Date (Quarter)].[Date (Quarter)]" caption="Date (Quarter)" numFmtId="0" hierarchy="3" level="1">
      <sharedItems containsNonDate="0" count="1">
        <s v="Qtr1"/>
      </sharedItems>
    </cacheField>
    <cacheField name="[Calendar_Table].[Date (Year)].[Date (Year)]" caption="Date (Year)" numFmtId="0" hierarchy="4" level="1">
      <sharedItems count="2">
        <s v="2023"/>
        <s v="2024"/>
      </sharedItems>
    </cacheField>
  </cacheFields>
  <cacheHierarchies count="36">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Quarter)]" caption="Date (Quarter)" attribute="1" defaultMemberUniqueName="[Calendar_Table].[Date (Quarter)].[All]" allUniqueName="[Calendar_Table].[Date (Quarter)].[All]" dimensionUniqueName="[Calendar_Table]" displayFolder="" count="2" memberValueDatatype="130" unbalanced="0">
      <fieldsUsage count="2">
        <fieldUsage x="-1"/>
        <fieldUsage x="2"/>
      </fieldsUsage>
    </cacheHierarchy>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2"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saveData="0" refreshedBy="DELL" refreshedDate="46203.565701273146" createdVersion="3" refreshedVersion="6" minRefreshableVersion="3" recordCount="0" supportSubquery="1" supportAdvancedDrill="1">
  <cacheSource type="external" connectionId="3">
    <extLst>
      <ext xmlns:x14="http://schemas.microsoft.com/office/spreadsheetml/2009/9/main" uri="{F057638F-6D5F-4e77-A914-E7F072B9BCA8}">
        <x14:sourceConnection name="ThisWorkbookDataModel"/>
      </ext>
    </extLst>
  </cacheSource>
  <cacheFields count="0"/>
  <cacheHierarchies count="36">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Merged]" caption="Merged" attribute="1" defaultMemberUniqueName="[Hospital Emergency Room Data].[Merged].[All]" allUniqueName="[Hospital Emergency Room Data].[Merge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Admission Time]" caption="Patient Admission Time" attribute="1" time="1" defaultMemberUniqueName="[Hospital Emergency Room Data].[Patient Admission Time].[All]" allUniqueName="[Hospital Emergency Room Data].[Patient Admission Time].[All]" dimensionUniqueName="[Hospital Emergency Room Data]" displayFolder="" count="0" memberValueDatatype="7"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Calendar_Table]" caption="__XL_Count Calendar_Table" measure="1" displayFolder="" measureGroup="Calendar_Table" count="0" hidden="1"/>
    <cacheHierarchy uniqueName="[Measures].[__XL_Count Hospital Emergency Room Data]" caption="__XL_Count Hospital Emergency Room Data" measure="1" displayFolder="" measureGroup="Hospital Emergency Room Data"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2"/>
        </ext>
      </extLst>
    </cacheHierarchy>
    <cacheHierarchy uniqueName="[Measures].[Sum of Patient Age]" caption="Sum of Patient Age" measure="1" displayFolder="" measureGroup="Hospital Emergency Room Data" count="0" hidden="1">
      <extLst>
        <ext xmlns:x15="http://schemas.microsoft.com/office/spreadsheetml/2010/11/main" uri="{B97F6D7D-B522-45F9-BDA1-12C45D357490}">
          <x15:cacheHierarchy aggregatedColumn="11"/>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6"/>
        </ext>
      </extLst>
    </cacheHierarchy>
    <cacheHierarchy uniqueName="[Measures].[Count of Date]" caption="Count of Date" measure="1" displayFolder="" measureGroup="Calendar_Table"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name="PivotTable11" cacheId="271" applyNumberFormats="0" applyBorderFormats="0" applyFontFormats="0" applyPatternFormats="0" applyAlignmentFormats="0" applyWidthHeightFormats="1" dataCaption="Values" tag="0777ee77-fce8-47f3-8991-b634afcda80a" updatedVersion="6" minRefreshableVersion="3" itemPrintTitles="1" createdVersion="6" indent="0" outline="1" outlineData="1" multipleFieldFilters="0" chartFormat="4">
  <location ref="BR19:BS22" firstHeaderRow="1" firstDataRow="1" firstDataCol="1"/>
  <pivotFields count="3">
    <pivotField allDrilled="1" showAll="0" dataSourceSort="1" defaultAttributeDrillState="1"/>
    <pivotField axis="axisRow" allDrilled="1" showAll="0" dataSourceSort="1" defaultAttributeDrillState="1">
      <items count="3">
        <item x="0"/>
        <item x="1"/>
        <item t="default"/>
      </items>
    </pivotField>
    <pivotField dataField="1" showAll="0"/>
  </pivotFields>
  <rowFields count="1">
    <field x="1"/>
  </rowFields>
  <rowItems count="3">
    <i>
      <x/>
    </i>
    <i>
      <x v="1"/>
    </i>
    <i t="grand">
      <x/>
    </i>
  </rowItems>
  <colItems count="1">
    <i/>
  </colItems>
  <dataFields count="1">
    <dataField name="Count of Patient Gender" fld="2" subtotal="count" baseField="0" baseItem="0"/>
  </dataFields>
  <chartFormats count="4">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1" count="1" selected="0">
            <x v="0"/>
          </reference>
        </references>
      </pivotArea>
    </chartFormat>
    <chartFormat chart="0" format="3">
      <pivotArea type="data" outline="0" fieldPosition="0">
        <references count="2">
          <reference field="4294967294" count="1" selected="0">
            <x v="0"/>
          </reference>
          <reference field="1" count="1" selected="0">
            <x v="1"/>
          </reference>
        </references>
      </pivotArea>
    </chartFormat>
    <chartFormat chart="3" format="10" series="1">
      <pivotArea type="data" outline="0" fieldPosition="0">
        <references count="1">
          <reference field="4294967294" count="1" selected="0">
            <x v="0"/>
          </reference>
        </references>
      </pivotArea>
    </chartFormat>
  </chart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2.xml><?xml version="1.0" encoding="utf-8"?>
<pivotTableDefinition xmlns="http://schemas.openxmlformats.org/spreadsheetml/2006/main" name="PivotTable16" cacheId="286" applyNumberFormats="0" applyBorderFormats="0" applyFontFormats="0" applyPatternFormats="0" applyAlignmentFormats="0" applyWidthHeightFormats="1" dataCaption="Values" tag="0777ee77-fce8-47f3-8991-b634afcda80a" updatedVersion="6" minRefreshableVersion="3" subtotalHiddenItems="1" itemPrintTitles="1" createdVersion="6" indent="0" outline="1" outlineData="1" multipleFieldFilters="0" chartFormat="4">
  <location ref="CB41:CB44" firstHeaderRow="1" firstDataRow="1" firstDataCol="1"/>
  <pivotFields count="4">
    <pivotField axis="axisRow" allDrilled="1" showAll="0" dataSourceSort="1">
      <items count="2">
        <item s="1" x="0" e="0"/>
        <item t="default"/>
      </items>
    </pivotField>
    <pivotField axis="axisRow" allDrilled="1" showAll="0" dataSourceSort="1" defaultAttributeDrillState="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allDrilled="1" showAll="0" dataSourceSort="1">
      <items count="2">
        <item x="0" e="0"/>
        <item t="default"/>
      </items>
    </pivotField>
    <pivotField axis="axisRow" allDrilled="1" showAll="0" dataSourceSort="1">
      <items count="3">
        <item x="0" e="0"/>
        <item x="1" e="0"/>
        <item t="default"/>
      </items>
    </pivotField>
  </pivotFields>
  <rowFields count="4">
    <field x="3"/>
    <field x="2"/>
    <field x="0"/>
    <field x="1"/>
  </rowFields>
  <rowItems count="3">
    <i>
      <x/>
    </i>
    <i>
      <x v="1"/>
    </i>
    <i t="grand">
      <x/>
    </i>
  </rowItems>
  <pivotHierarchies count="36">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4"/>
    <rowHierarchyUsage hierarchyUsage="3"/>
    <rowHierarchyUsage hierarchyUsage="2"/>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3.xml><?xml version="1.0" encoding="utf-8"?>
<pivotTableDefinition xmlns="http://schemas.openxmlformats.org/spreadsheetml/2006/main" name="PivotTable7" cacheId="262" applyNumberFormats="0" applyBorderFormats="0" applyFontFormats="0" applyPatternFormats="0" applyAlignmentFormats="0" applyWidthHeightFormats="1" dataCaption="Values" tag="dca9ad7f-d8d7-4fce-92cc-f88862ac71bd" updatedVersion="6" minRefreshableVersion="3" itemPrintTitles="1" createdVersion="6" indent="0" outline="1" outlineData="1" multipleFieldFilters="0">
  <location ref="A15:A16" firstHeaderRow="1" firstDataRow="1" firstDataCol="0"/>
  <pivotFields count="2">
    <pivotField dataField="1" showAll="0"/>
    <pivotField allDrilled="1" showAll="0" dataSourceSort="1" defaultAttributeDrillState="1"/>
  </pivotFields>
  <rowItems count="1">
    <i/>
  </rowItems>
  <colItems count="1">
    <i/>
  </colItems>
  <dataFields count="1">
    <dataField name="Average of Patient Satisfaction Score" fld="0" subtotal="average" baseField="0" baseItem="0"/>
  </dataFields>
  <formats count="6">
    <format dxfId="5">
      <pivotArea outline="0" collapsedLevelsAreSubtotals="1" fieldPosition="0"/>
    </format>
    <format dxfId="4">
      <pivotArea outline="0" collapsedLevelsAreSubtotals="1" fieldPosition="0"/>
    </format>
    <format dxfId="3">
      <pivotArea outline="0" collapsedLevelsAreSubtotals="1" fieldPosition="0"/>
    </format>
    <format dxfId="2">
      <pivotArea outline="0" collapsedLevelsAreSubtotals="1" fieldPosition="0"/>
    </format>
    <format dxfId="1">
      <pivotArea outline="0" collapsedLevelsAreSubtotals="1" fieldPosition="0"/>
    </format>
    <format dxfId="0">
      <pivotArea outline="0" collapsedLevelsAreSubtotals="1" fieldPosition="0"/>
    </format>
  </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Lst>
</pivotTableDefinition>
</file>

<file path=xl/pivotTables/pivotTable4.xml><?xml version="1.0" encoding="utf-8"?>
<pivotTableDefinition xmlns="http://schemas.openxmlformats.org/spreadsheetml/2006/main" name="PivotTable15" cacheId="283" applyNumberFormats="0" applyBorderFormats="0" applyFontFormats="0" applyPatternFormats="0" applyAlignmentFormats="0" applyWidthHeightFormats="1" dataCaption="Values" tag="0777ee77-fce8-47f3-8991-b634afcda80a" updatedVersion="6" minRefreshableVersion="3" itemPrintTitles="1" createdVersion="6" indent="0" outline="1" outlineData="1" multipleFieldFilters="0" chartFormat="7">
  <location ref="CA19:CB28" firstHeaderRow="1" firstDataRow="1" firstDataCol="1"/>
  <pivotFields count="3">
    <pivotField allDrilled="1" showAll="0" dataSourceSort="1" defaultAttributeDrillState="1"/>
    <pivotField dataField="1" showAll="0"/>
    <pivotField axis="axisRow" allDrilled="1" showAll="0" sortType="ascending" defaultAttributeDrillState="1">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s>
  <rowFields count="1">
    <field x="2"/>
  </rowFields>
  <rowItems count="9">
    <i>
      <x v="1"/>
    </i>
    <i>
      <x v="7"/>
    </i>
    <i>
      <x v="3"/>
    </i>
    <i>
      <x v="6"/>
    </i>
    <i>
      <x/>
    </i>
    <i>
      <x v="5"/>
    </i>
    <i>
      <x v="2"/>
    </i>
    <i>
      <x v="4"/>
    </i>
    <i t="grand">
      <x/>
    </i>
  </rowItems>
  <colItems count="1">
    <i/>
  </colItems>
  <dataFields count="1">
    <dataField name="Count of Department Referral" fld="1" subtotal="count" baseField="0" baseItem="0"/>
  </dataFields>
  <chartFormats count="4">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5.xml><?xml version="1.0" encoding="utf-8"?>
<pivotTableDefinition xmlns="http://schemas.openxmlformats.org/spreadsheetml/2006/main" name="PivotTable1" cacheId="265" applyNumberFormats="0" applyBorderFormats="0" applyFontFormats="0" applyPatternFormats="0" applyAlignmentFormats="0" applyWidthHeightFormats="1" dataCaption="Values" tag="966efd6e-24b3-441d-9285-a4967a7d7be8" updatedVersion="6" minRefreshableVersion="3" itemPrintTitles="1" createdVersion="6" indent="0" outline="1" outlineData="1" multipleFieldFilters="0" chartFormat="29">
  <location ref="N3:O35" firstHeaderRow="1" firstDataRow="1" firstDataCol="1"/>
  <pivotFields count="3">
    <pivotField axis="axisRow" allDrilled="1" showAll="0" dataSourceSort="1"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llDrilled="1" showAll="0" dataSourceSort="1" defaultAttributeDrillState="1"/>
    <pivotField dataField="1" showAl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Waittime" fld="2" subtotal="average" baseField="0" baseItem="0"/>
  </dataFields>
  <formats count="8">
    <format dxfId="13">
      <pivotArea collapsedLevelsAreSubtotals="1" fieldPosition="0">
        <references count="1">
          <reference field="0" count="0"/>
        </references>
      </pivotArea>
    </format>
    <format dxfId="12">
      <pivotArea collapsedLevelsAreSubtotals="1" fieldPosition="0">
        <references count="1">
          <reference field="0" count="0"/>
        </references>
      </pivotArea>
    </format>
    <format dxfId="11">
      <pivotArea collapsedLevelsAreSubtotals="1" fieldPosition="0">
        <references count="1">
          <reference field="0" count="0"/>
        </references>
      </pivotArea>
    </format>
    <format dxfId="10">
      <pivotArea collapsedLevelsAreSubtotals="1" fieldPosition="0">
        <references count="1">
          <reference field="0" count="0"/>
        </references>
      </pivotArea>
    </format>
    <format dxfId="9">
      <pivotArea collapsedLevelsAreSubtotals="1" fieldPosition="0">
        <references count="1">
          <reference field="0" count="0"/>
        </references>
      </pivotArea>
    </format>
    <format dxfId="8">
      <pivotArea collapsedLevelsAreSubtotals="1" fieldPosition="0">
        <references count="1">
          <reference field="0" count="0"/>
        </references>
      </pivotArea>
    </format>
    <format dxfId="7">
      <pivotArea collapsedLevelsAreSubtotals="1" fieldPosition="0">
        <references count="1">
          <reference field="0" count="0"/>
        </references>
      </pivotArea>
    </format>
    <format dxfId="6">
      <pivotArea collapsedLevelsAreSubtotals="1" fieldPosition="0">
        <references count="1">
          <reference field="0" count="0"/>
        </references>
      </pivotArea>
    </format>
  </formats>
  <chartFormats count="3">
    <chartFormat chart="14" format="0" series="1">
      <pivotArea type="data" outline="0" fieldPosition="0">
        <references count="1">
          <reference field="4294967294" count="1" selected="0">
            <x v="0"/>
          </reference>
        </references>
      </pivotArea>
    </chartFormat>
    <chartFormat chart="22" format="3"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6.xml><?xml version="1.0" encoding="utf-8"?>
<pivotTableDefinition xmlns="http://schemas.openxmlformats.org/spreadsheetml/2006/main" name="PivotTable10" cacheId="2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BO19:BP22"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Count of Patient Gender" fld="1" subtotal="count" baseField="0" baseItem="0"/>
  </dataFields>
  <pivotHierarchies count="36">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Lst>
</pivotTableDefinition>
</file>

<file path=xl/pivotTables/pivotTable7.xml><?xml version="1.0" encoding="utf-8"?>
<pivotTableDefinition xmlns="http://schemas.openxmlformats.org/spreadsheetml/2006/main" name="PivotTable14" cacheId="280" applyNumberFormats="0" applyBorderFormats="0" applyFontFormats="0" applyPatternFormats="0" applyAlignmentFormats="0" applyWidthHeightFormats="1" dataCaption="Values" tag="0777ee77-fce8-47f3-8991-b634afcda80a" updatedVersion="6" minRefreshableVersion="3" itemPrintTitles="1" createdVersion="6" indent="0" outline="1" outlineData="1" multipleFieldFilters="0" chartFormat="7">
  <location ref="AT23:AU32" firstHeaderRow="1" firstDataRow="1" firstDataCol="1"/>
  <pivotFields count="3">
    <pivotField allDrilled="1" showAll="0" dataSourceSort="1" defaultAttributeDrillState="1"/>
    <pivotField axis="axisRow" allDrilled="1" showAll="0" dataSourceSort="1" defaultAttributeDrillState="1">
      <items count="9">
        <item x="0"/>
        <item x="1"/>
        <item x="2"/>
        <item x="3"/>
        <item x="4"/>
        <item x="5"/>
        <item x="6"/>
        <item x="7"/>
        <item t="default"/>
      </items>
    </pivotField>
    <pivotField dataField="1" showAll="0"/>
  </pivotFields>
  <rowFields count="1">
    <field x="1"/>
  </rowFields>
  <rowItems count="9">
    <i>
      <x/>
    </i>
    <i>
      <x v="1"/>
    </i>
    <i>
      <x v="2"/>
    </i>
    <i>
      <x v="3"/>
    </i>
    <i>
      <x v="4"/>
    </i>
    <i>
      <x v="5"/>
    </i>
    <i>
      <x v="6"/>
    </i>
    <i>
      <x v="7"/>
    </i>
    <i t="grand">
      <x/>
    </i>
  </rowItems>
  <colItems count="1">
    <i/>
  </colItems>
  <dataFields count="1">
    <dataField name="Count of Patient Id" fld="2" subtotal="count" baseField="0" baseItem="0"/>
  </dataFields>
  <chartFormats count="2">
    <chartFormat chart="0" format="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8.xml><?xml version="1.0" encoding="utf-8"?>
<pivotTableDefinition xmlns="http://schemas.openxmlformats.org/spreadsheetml/2006/main" name="PivotTable6" cacheId="259" applyNumberFormats="0" applyBorderFormats="0" applyFontFormats="0" applyPatternFormats="0" applyAlignmentFormats="0" applyWidthHeightFormats="1" dataCaption="Values" tag="2320cd43-36aa-44d1-92e6-84103d509aa3" updatedVersion="6" minRefreshableVersion="3" itemPrintTitles="1" createdVersion="6" indent="0" outline="1" outlineData="1" multipleFieldFilters="0">
  <location ref="A9:A10" firstHeaderRow="1" firstDataRow="1" firstDataCol="0"/>
  <pivotFields count="2">
    <pivotField dataField="1" showAll="0"/>
    <pivotField allDrilled="1" showAll="0" dataSourceSort="1" defaultAttributeDrillState="1"/>
  </pivotFields>
  <rowItems count="1">
    <i/>
  </rowItems>
  <colItems count="1">
    <i/>
  </colItems>
  <dataFields count="1">
    <dataField name="Average of Patient Waittime" fld="0" subtotal="average" baseField="0" baseItem="0" numFmtId="2"/>
  </dataFields>
  <formats count="6">
    <format dxfId="19">
      <pivotArea outline="0" collapsedLevelsAreSubtotals="1" fieldPosition="0"/>
    </format>
    <format dxfId="18">
      <pivotArea outline="0" collapsedLevelsAreSubtotals="1" fieldPosition="0"/>
    </format>
    <format dxfId="17">
      <pivotArea outline="0" collapsedLevelsAreSubtotals="1" fieldPosition="0"/>
    </format>
    <format dxfId="16">
      <pivotArea outline="0" collapsedLevelsAreSubtotals="1" fieldPosition="0"/>
    </format>
    <format dxfId="15">
      <pivotArea outline="0" collapsedLevelsAreSubtotals="1" fieldPosition="0"/>
    </format>
    <format dxfId="14">
      <pivotArea outline="0" collapsedLevelsAreSubtotals="1" fieldPosition="0"/>
    </format>
  </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Lst>
</pivotTableDefinition>
</file>

<file path=xl/pivotTables/pivotTable9.xml><?xml version="1.0" encoding="utf-8"?>
<pivotTableDefinition xmlns="http://schemas.openxmlformats.org/spreadsheetml/2006/main" name="PivotTable9" cacheId="25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6">
  <location ref="BG11:BH14" firstHeaderRow="1" firstDataRow="1" firstDataCol="1"/>
  <pivotFields count="3">
    <pivotField axis="axisRow" allDrilled="1" showAll="0" dataSourceSort="1" defaultAttributeDrillState="1">
      <items count="3">
        <item x="0"/>
        <item x="1"/>
        <item t="default"/>
      </items>
    </pivotField>
    <pivotField dataField="1" showAll="0"/>
    <pivotField allDrilled="1" showAll="0" dataSourceSort="1" defaultAttributeDrillState="1"/>
  </pivotFields>
  <rowFields count="1">
    <field x="0"/>
  </rowFields>
  <rowItems count="3">
    <i>
      <x/>
    </i>
    <i>
      <x v="1"/>
    </i>
    <i t="grand">
      <x/>
    </i>
  </rowItems>
  <colItems count="1">
    <i/>
  </colItems>
  <dataFields count="1">
    <dataField name="Count of Patient Id" fld="1"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Hierarchies count="36">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Lst>
</pivotTableDefinition>
</file>

<file path=xl/pivotTables/pivotTable10.xml><?xml version="1.0" encoding="utf-8"?>
<pivotTableDefinition xmlns="http://schemas.openxmlformats.org/spreadsheetml/2006/main" name="PivotTable5" cacheId="256" applyNumberFormats="0" applyBorderFormats="0" applyFontFormats="0" applyPatternFormats="0" applyAlignmentFormats="0" applyWidthHeightFormats="1" dataCaption="Values" tag="0777ee77-fce8-47f3-8991-b634afcda80a" updatedVersion="6" minRefreshableVersion="3" itemPrintTitles="1" createdVersion="6" indent="0" outline="1" outlineData="1" multipleFieldFilters="0">
  <location ref="A3:A4" firstHeaderRow="1" firstDataRow="1" firstDataCol="0"/>
  <pivotFields count="2">
    <pivotField dataField="1" showAll="0"/>
    <pivotField allDrilled="1" showAll="0" dataSourceSort="1"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11.xml><?xml version="1.0" encoding="utf-8"?>
<pivotTableDefinition xmlns="http://schemas.openxmlformats.org/spreadsheetml/2006/main" name="PivotTable4" cacheId="235" applyNumberFormats="0" applyBorderFormats="0" applyFontFormats="0" applyPatternFormats="0" applyAlignmentFormats="0" applyWidthHeightFormats="1" dataCaption="Values" updatedVersion="6" minRefreshableVersion="3" itemPrintTitles="1" createdVersion="6" indent="0" outline="1" outlineData="1" multipleFieldFilters="0" chartFormat="14">
  <location ref="AQ6:AR15" firstHeaderRow="1" firstDataRow="1" firstDataCol="1"/>
  <pivotFields count="3">
    <pivotField axis="axisRow" allDrilled="1" showAll="0" dataSourceSort="1" defaultAttributeDrillState="1">
      <items count="9">
        <item x="0"/>
        <item x="1"/>
        <item x="2"/>
        <item x="3"/>
        <item x="4"/>
        <item x="5"/>
        <item x="6"/>
        <item x="7"/>
        <item t="default"/>
      </items>
    </pivotField>
    <pivotField dataField="1" showAll="0"/>
    <pivotField allDrilled="1" showAll="0" dataSourceSort="1" defaultAttributeDrillState="1"/>
  </pivotFields>
  <rowFields count="1">
    <field x="0"/>
  </rowFields>
  <rowItems count="9">
    <i>
      <x/>
    </i>
    <i>
      <x v="1"/>
    </i>
    <i>
      <x v="2"/>
    </i>
    <i>
      <x v="3"/>
    </i>
    <i>
      <x v="4"/>
    </i>
    <i>
      <x v="5"/>
    </i>
    <i>
      <x v="6"/>
    </i>
    <i>
      <x v="7"/>
    </i>
    <i t="grand">
      <x/>
    </i>
  </rowItems>
  <colItems count="1">
    <i/>
  </colItems>
  <dataFields count="1">
    <dataField name="Count of Age Group"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36">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Lst>
</pivotTableDefinition>
</file>

<file path=xl/pivotTables/pivotTable12.xml><?xml version="1.0" encoding="utf-8"?>
<pivotTableDefinition xmlns="http://schemas.openxmlformats.org/spreadsheetml/2006/main" name="PivotTable13" cacheId="277" applyNumberFormats="0" applyBorderFormats="0" applyFontFormats="0" applyPatternFormats="0" applyAlignmentFormats="0" applyWidthHeightFormats="1" dataCaption="Values" tag="0777ee77-fce8-47f3-8991-b634afcda80a" updatedVersion="6" minRefreshableVersion="3" itemPrintTitles="1" createdVersion="6" indent="0" outline="1" outlineData="1" multipleFieldFilters="0">
  <location ref="AG25:AI28" firstHeaderRow="0" firstDataRow="1" firstDataCol="1"/>
  <pivotFields count="4">
    <pivotField allDrilled="1" showAll="0" dataSourceSort="1" defaultAttributeDrillState="1"/>
    <pivotField axis="axisRow" allDrilled="1" showAll="0" dataSourceSort="1" defaultAttributeDrillState="1">
      <items count="3">
        <item x="0"/>
        <item x="1"/>
        <item t="default"/>
      </items>
    </pivotField>
    <pivotField dataField="1" showAl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3">
    <i>
      <x/>
    </i>
    <i>
      <x v="1"/>
    </i>
    <i t="grand">
      <x/>
    </i>
  </rowItems>
  <colFields count="1">
    <field x="-2"/>
  </colFields>
  <colItems count="2">
    <i>
      <x/>
    </i>
    <i i="1">
      <x v="1"/>
    </i>
  </colItems>
  <dataFields count="2">
    <dataField name="Count of Patient Admission Flag" fld="2"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2" uniqueName="[__Xl2].[Measures].[Count of Patient Admission Flag]"/>
        </ext>
      </extLst>
    </dataField>
  </dataFields>
  <pivotHierarchies count="37">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13.xml><?xml version="1.0" encoding="utf-8"?>
<pivotTableDefinition xmlns="http://schemas.openxmlformats.org/spreadsheetml/2006/main" name="PivotTable3" cacheId="232" applyNumberFormats="0" applyBorderFormats="0" applyFontFormats="0" applyPatternFormats="0" applyAlignmentFormats="0" applyWidthHeightFormats="1" dataCaption="Values" updatedVersion="6" minRefreshableVersion="3" itemPrintTitles="1" createdVersion="6" indent="0" outline="1" outlineData="1" multipleFieldFilters="0" chartFormat="12">
  <location ref="AG7:AI10" firstHeaderRow="0" firstDataRow="1" firstDataCol="1"/>
  <pivotFields count="4">
    <pivotField axis="axisRow" allDrilled="1" showAll="0" dataSourceSort="1" defaultAttributeDrillState="1">
      <items count="3">
        <item x="0"/>
        <item x="1"/>
        <item t="default"/>
      </items>
    </pivotField>
    <pivotField dataField="1" showAll="0"/>
    <pivotField allDrilled="1"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chartFormats count="4">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0"/>
          </reference>
        </references>
      </pivotArea>
    </chartFormat>
  </chartFormats>
  <pivotHierarchies count="37">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Lst>
</pivotTableDefinition>
</file>

<file path=xl/pivotTables/pivotTable14.xml><?xml version="1.0" encoding="utf-8"?>
<pivotTableDefinition xmlns="http://schemas.openxmlformats.org/spreadsheetml/2006/main" name="PivotTable8" cacheId="253" applyNumberFormats="0" applyBorderFormats="0" applyFontFormats="0" applyPatternFormats="0" applyAlignmentFormats="0" applyWidthHeightFormats="1" dataCaption="Values" tag="966efd6e-24b3-441d-9285-a4967a7d7be8" updatedVersion="6" minRefreshableVersion="3" itemPrintTitles="1" createdVersion="6" indent="0" outline="1" outlineData="1" multipleFieldFilters="0" chartFormat="20">
  <location ref="C3:D35" firstHeaderRow="1" firstDataRow="1" firstDataCol="1"/>
  <pivotFields count="3">
    <pivotField dataField="1" showAll="0"/>
    <pivotField axis="axisRow" allDrilled="1" showAll="0" dataSourceSort="1"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llDrilled="1" showAll="0" dataSourceSort="1" defaultAttributeDrillState="1"/>
  </pivotFields>
  <rowFields count="1">
    <field x="1"/>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chartFormats count="8">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9"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15.xml><?xml version="1.0" encoding="utf-8"?>
<pivotTableDefinition xmlns="http://schemas.openxmlformats.org/spreadsheetml/2006/main" name="PivotTable12" cacheId="274" applyNumberFormats="0" applyBorderFormats="0" applyFontFormats="0" applyPatternFormats="0" applyAlignmentFormats="0" applyWidthHeightFormats="1" dataCaption="Values" tag="0777ee77-fce8-47f3-8991-b634afcda80a" updatedVersion="6" minRefreshableVersion="3" itemPrintTitles="1" createdVersion="6" indent="0" outline="1" outlineData="1" multipleFieldFilters="0" chartFormat="13">
  <location ref="BO25:BP28" firstHeaderRow="1" firstDataRow="1" firstDataCol="1"/>
  <pivotFields count="3">
    <pivotField allDrilled="1" showAll="0" dataSourceSort="1" defaultAttributeDrillState="1"/>
    <pivotField axis="axisRow" allDrilled="1" showAll="0" dataSourceSort="1" defaultAttributeDrillState="1">
      <items count="3">
        <item x="0"/>
        <item x="1"/>
        <item t="default"/>
      </items>
    </pivotField>
    <pivotField dataField="1" showAll="0"/>
  </pivotFields>
  <rowFields count="1">
    <field x="1"/>
  </rowFields>
  <rowItems count="3">
    <i>
      <x/>
    </i>
    <i>
      <x v="1"/>
    </i>
    <i t="grand">
      <x/>
    </i>
  </rowItems>
  <colItems count="1">
    <i/>
  </colItems>
  <dataFields count="1">
    <dataField name="Count of Patient Attend Status" fld="2" subtotal="count" showDataAs="percentOfTotal" baseField="0" baseItem="0" numFmtId="10"/>
  </dataField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 count="1" selected="0">
            <x v="0"/>
          </reference>
        </references>
      </pivotArea>
    </chartFormat>
    <chartFormat chart="3" format="4">
      <pivotArea type="data" outline="0" fieldPosition="0">
        <references count="2">
          <reference field="4294967294" count="1" selected="0">
            <x v="0"/>
          </reference>
          <reference field="1" count="1" selected="0">
            <x v="1"/>
          </reference>
        </references>
      </pivotArea>
    </chartFormat>
    <chartFormat chart="12" format="14" series="1">
      <pivotArea type="data" outline="0" fieldPosition="0">
        <references count="1">
          <reference field="4294967294" count="1" selected="0">
            <x v="0"/>
          </reference>
        </references>
      </pivotArea>
    </chartFormat>
    <chartFormat chart="12" format="15">
      <pivotArea type="data" outline="0" fieldPosition="0">
        <references count="2">
          <reference field="4294967294" count="1" selected="0">
            <x v="0"/>
          </reference>
          <reference field="1" count="1" selected="0">
            <x v="0"/>
          </reference>
        </references>
      </pivotArea>
    </chartFormat>
    <chartFormat chart="12" format="16">
      <pivotArea type="data" outline="0" fieldPosition="0">
        <references count="2">
          <reference field="4294967294" count="1" selected="0">
            <x v="0"/>
          </reference>
          <reference field="1" count="1" selected="0">
            <x v="1"/>
          </reference>
        </references>
      </pivotArea>
    </chartFormat>
  </chart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pivotTables/pivotTable16.xml><?xml version="1.0" encoding="utf-8"?>
<pivotTableDefinition xmlns="http://schemas.openxmlformats.org/spreadsheetml/2006/main" name="PivotTable2" cacheId="268" applyNumberFormats="0" applyBorderFormats="0" applyFontFormats="0" applyPatternFormats="0" applyAlignmentFormats="0" applyWidthHeightFormats="1" dataCaption="Values" tag="966efd6e-24b3-441d-9285-a4967a7d7be8" updatedVersion="6" minRefreshableVersion="3" itemPrintTitles="1" createdVersion="6" indent="0" outline="1" outlineData="1" multipleFieldFilters="0" chartFormat="36">
  <location ref="R3:S35" firstHeaderRow="1" firstDataRow="1" firstDataCol="1"/>
  <pivotFields count="3">
    <pivotField axis="axisRow" allDrilled="1" showAll="0" dataSourceSort="1"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llDrilled="1" showAll="0" dataSourceSort="1" defaultAttributeDrillState="1"/>
    <pivotField dataField="1" showAll="0"/>
  </pivotFields>
  <rowFields count="1">
    <field x="0"/>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Items count="1">
    <i/>
  </colItems>
  <dataFields count="1">
    <dataField name="Average of Patient Satisfaction Score" fld="2" subtotal="average" baseField="0" baseItem="0"/>
  </dataFields>
  <formats count="8">
    <format dxfId="27">
      <pivotArea collapsedLevelsAreSubtotals="1" fieldPosition="0">
        <references count="1">
          <reference field="0" count="0"/>
        </references>
      </pivotArea>
    </format>
    <format dxfId="26">
      <pivotArea collapsedLevelsAreSubtotals="1" fieldPosition="0">
        <references count="1">
          <reference field="0" count="0"/>
        </references>
      </pivotArea>
    </format>
    <format dxfId="25">
      <pivotArea collapsedLevelsAreSubtotals="1" fieldPosition="0">
        <references count="1">
          <reference field="0" count="0"/>
        </references>
      </pivotArea>
    </format>
    <format dxfId="24">
      <pivotArea collapsedLevelsAreSubtotals="1" fieldPosition="0">
        <references count="1">
          <reference field="0" count="0"/>
        </references>
      </pivotArea>
    </format>
    <format dxfId="23">
      <pivotArea collapsedLevelsAreSubtotals="1" fieldPosition="0">
        <references count="1">
          <reference field="0" count="0"/>
        </references>
      </pivotArea>
    </format>
    <format dxfId="22">
      <pivotArea collapsedLevelsAreSubtotals="1" fieldPosition="0">
        <references count="1">
          <reference field="0" count="0"/>
        </references>
      </pivotArea>
    </format>
    <format dxfId="21">
      <pivotArea collapsedLevelsAreSubtotals="1" fieldPosition="0">
        <references count="1">
          <reference field="0" count="0"/>
        </references>
      </pivotArea>
    </format>
    <format dxfId="20">
      <pivotArea collapsedLevelsAreSubtotals="1" fieldPosition="0">
        <references count="1">
          <reference field="0" count="0"/>
        </references>
      </pivotArea>
    </format>
  </formats>
  <chartFormats count="4">
    <chartFormat chart="20" format="0" series="1">
      <pivotArea type="data" outline="0" fieldPosition="0">
        <references count="1">
          <reference field="4294967294" count="1" selected="0">
            <x v="0"/>
          </reference>
        </references>
      </pivotArea>
    </chartFormat>
    <chartFormat chart="30" format="3" series="1">
      <pivotArea type="data" outline="0" fieldPosition="0">
        <references count="1">
          <reference field="4294967294" count="1" selected="0">
            <x v="0"/>
          </reference>
        </references>
      </pivotArea>
    </chartFormat>
    <chartFormat chart="31" format="4"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Hierarchies count="36">
    <pivotHierarchy dragToData="1"/>
    <pivotHierarchy dragToData="1"/>
    <pivotHierarchy multipleItemSelectionAllowed="1" dragToData="1">
      <members count="1" level="1">
        <member name="[Calendar_Table].[Date (Month)].&amp;[Jan]"/>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ate__Month" sourceName="[Calendar_Table].[Date (Month)]">
  <pivotTables>
    <pivotTable tabId="9" name="PivotTable8"/>
    <pivotTable tabId="9" name="PivotTable5"/>
    <pivotTable tabId="9" name="PivotTable6"/>
    <pivotTable tabId="9" name="PivotTable7"/>
    <pivotTable tabId="9" name="PivotTable1"/>
    <pivotTable tabId="9" name="PivotTable2"/>
    <pivotTable tabId="9" name="PivotTable11"/>
    <pivotTable tabId="9" name="PivotTable12"/>
    <pivotTable tabId="9" name="PivotTable13"/>
    <pivotTable tabId="9" name="PivotTable14"/>
    <pivotTable tabId="9" name="PivotTable15"/>
    <pivotTable tabId="9" name="PivotTable16"/>
  </pivotTables>
  <data>
    <olap pivotCacheId="2">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mp;[Jan]"/>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ate__Year" sourceName="[Calendar_Table].[Date (Year)]">
  <pivotTables>
    <pivotTable tabId="9" name="PivotTable16"/>
    <pivotTable tabId="9" name="PivotTable1"/>
    <pivotTable tabId="9" name="PivotTable10"/>
    <pivotTable tabId="9" name="PivotTable11"/>
    <pivotTable tabId="9" name="PivotTable12"/>
    <pivotTable tabId="9" name="PivotTable13"/>
    <pivotTable tabId="9" name="PivotTable14"/>
    <pivotTable tabId="9" name="PivotTable15"/>
    <pivotTable tabId="9" name="PivotTable2"/>
    <pivotTable tabId="9" name="PivotTable3"/>
    <pivotTable tabId="9" name="PivotTable4"/>
    <pivotTable tabId="9" name="PivotTable5"/>
    <pivotTable tabId="9" name="PivotTable6"/>
    <pivotTable tabId="9" name="PivotTable7"/>
    <pivotTable tabId="9" name="PivotTable8"/>
    <pivotTable tabId="9" name="PivotTable9"/>
  </pivotTables>
  <data>
    <olap pivotCacheId="2">
      <levels count="2">
        <level uniqueName="[Calendar_Table].[Date (Year)].[(All)]" sourceCaption="(All)" count="0"/>
        <level uniqueName="[Calendar_Table].[Date (Year)].[Date (Year)]" sourceCaption="Date (Year)" count="2">
          <ranges>
            <range startItem="0">
              <i n="[Calendar_Table].[Date (Year)].&amp;[2023]" c="2023"/>
              <i n="[Calendar_Table].[Date (Year)].&amp;[2024]" c="2024"/>
            </range>
          </ranges>
        </level>
      </levels>
      <selections count="1">
        <selection n="[Calendar_Tabl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te (Year)" cache="Slicer_Date__Year" level="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Date (Month) 1" cache="Slicer_Date__Month" caption="Date (Month)" showCaption="0" level="1" style="My Style" rowHeight="241300"/>
  <slicer name="Date (Year) 1" cache="Slicer_Date__Year"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rinterSettings" Target="../printerSettings/printerSettings1.bin"/><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3.bin"/><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CB44"/>
  <sheetViews>
    <sheetView topLeftCell="BV26" zoomScale="104" workbookViewId="0">
      <selection activeCell="BY36" sqref="BY36"/>
    </sheetView>
  </sheetViews>
  <sheetFormatPr defaultRowHeight="14.5" x14ac:dyDescent="0.35"/>
  <cols>
    <col min="1" max="1" width="28.54296875" customWidth="1"/>
    <col min="3" max="3" width="41.08984375" customWidth="1"/>
    <col min="4" max="4" width="28.08984375" customWidth="1"/>
    <col min="14" max="14" width="15.54296875" customWidth="1"/>
    <col min="15" max="15" width="28.1796875" customWidth="1"/>
    <col min="19" max="19" width="28.1796875" customWidth="1"/>
    <col min="33" max="33" width="19.7265625" customWidth="1"/>
    <col min="34" max="34" width="11.7265625" customWidth="1"/>
    <col min="35" max="35" width="14.7265625" customWidth="1"/>
    <col min="37" max="37" width="8.7265625" customWidth="1"/>
    <col min="38" max="38" width="2.6328125" customWidth="1"/>
    <col min="43" max="43" width="12.36328125" bestFit="1" customWidth="1"/>
    <col min="44" max="44" width="17.54296875" bestFit="1" customWidth="1"/>
    <col min="59" max="59" width="12.36328125" bestFit="1" customWidth="1"/>
    <col min="60" max="60" width="16.81640625" bestFit="1" customWidth="1"/>
    <col min="67" max="67" width="12.36328125" customWidth="1"/>
    <col min="68" max="68" width="21.54296875" bestFit="1" customWidth="1"/>
    <col min="70" max="70" width="30.7265625" customWidth="1"/>
    <col min="79" max="79" width="22.7265625" customWidth="1"/>
    <col min="80" max="80" width="13.26953125" customWidth="1"/>
    <col min="81" max="81" width="35.81640625" customWidth="1"/>
  </cols>
  <sheetData>
    <row r="2" spans="1:62" x14ac:dyDescent="0.35">
      <c r="A2" t="s">
        <v>3</v>
      </c>
    </row>
    <row r="3" spans="1:62" x14ac:dyDescent="0.35">
      <c r="A3" t="s">
        <v>2</v>
      </c>
      <c r="C3" s="2" t="s">
        <v>0</v>
      </c>
      <c r="D3" t="s">
        <v>2</v>
      </c>
      <c r="N3" s="2" t="s">
        <v>0</v>
      </c>
      <c r="O3" t="s">
        <v>4</v>
      </c>
      <c r="R3" s="2" t="s">
        <v>0</v>
      </c>
      <c r="S3" t="s">
        <v>5</v>
      </c>
    </row>
    <row r="4" spans="1:62" x14ac:dyDescent="0.35">
      <c r="A4" s="1">
        <v>513</v>
      </c>
      <c r="C4" s="3" t="s">
        <v>6</v>
      </c>
      <c r="D4" s="1">
        <v>19</v>
      </c>
      <c r="N4" s="3" t="s">
        <v>6</v>
      </c>
      <c r="O4" s="4">
        <v>37.789473684210527</v>
      </c>
      <c r="R4" s="3" t="s">
        <v>6</v>
      </c>
      <c r="S4" s="4">
        <v>6.666666666666667</v>
      </c>
    </row>
    <row r="5" spans="1:62" x14ac:dyDescent="0.35">
      <c r="C5" s="3" t="s">
        <v>7</v>
      </c>
      <c r="D5" s="1">
        <v>14</v>
      </c>
      <c r="N5" s="3" t="s">
        <v>7</v>
      </c>
      <c r="O5" s="4">
        <v>38.214285714285715</v>
      </c>
      <c r="R5" s="3" t="s">
        <v>7</v>
      </c>
      <c r="S5" s="4">
        <v>3.5</v>
      </c>
    </row>
    <row r="6" spans="1:62" x14ac:dyDescent="0.35">
      <c r="C6" s="3" t="s">
        <v>8</v>
      </c>
      <c r="D6" s="1">
        <v>13</v>
      </c>
      <c r="N6" s="3" t="s">
        <v>8</v>
      </c>
      <c r="O6" s="4">
        <v>40.92307692307692</v>
      </c>
      <c r="R6" s="3" t="s">
        <v>8</v>
      </c>
      <c r="S6" s="4">
        <v>4.5</v>
      </c>
      <c r="AQ6" s="2" t="s">
        <v>0</v>
      </c>
      <c r="AR6" t="s">
        <v>55</v>
      </c>
    </row>
    <row r="7" spans="1:62" x14ac:dyDescent="0.35">
      <c r="C7" s="3" t="s">
        <v>9</v>
      </c>
      <c r="D7" s="1">
        <v>22</v>
      </c>
      <c r="N7" s="3" t="s">
        <v>9</v>
      </c>
      <c r="O7" s="4">
        <v>34.5</v>
      </c>
      <c r="R7" s="3" t="s">
        <v>9</v>
      </c>
      <c r="S7" s="4">
        <v>4.8</v>
      </c>
      <c r="AG7" s="2" t="s">
        <v>0</v>
      </c>
      <c r="AH7" t="s">
        <v>42</v>
      </c>
      <c r="AI7" t="s">
        <v>43</v>
      </c>
      <c r="AQ7" s="3" t="s">
        <v>47</v>
      </c>
      <c r="AR7" s="1">
        <v>1176</v>
      </c>
    </row>
    <row r="8" spans="1:62" x14ac:dyDescent="0.35">
      <c r="C8" s="3" t="s">
        <v>10</v>
      </c>
      <c r="D8" s="1">
        <v>19</v>
      </c>
      <c r="N8" s="3" t="s">
        <v>10</v>
      </c>
      <c r="O8" s="4">
        <v>30.684210526315791</v>
      </c>
      <c r="R8" s="3" t="s">
        <v>10</v>
      </c>
      <c r="S8" s="4">
        <v>7.75</v>
      </c>
      <c r="AG8" s="3" t="s">
        <v>40</v>
      </c>
      <c r="AH8" s="1">
        <v>4612</v>
      </c>
      <c r="AI8" s="8">
        <v>0.50043402777777779</v>
      </c>
      <c r="AQ8" s="3" t="s">
        <v>48</v>
      </c>
      <c r="AR8" s="1">
        <v>1160</v>
      </c>
    </row>
    <row r="9" spans="1:62" x14ac:dyDescent="0.35">
      <c r="A9" t="s">
        <v>4</v>
      </c>
      <c r="C9" s="3" t="s">
        <v>11</v>
      </c>
      <c r="D9" s="1">
        <v>15</v>
      </c>
      <c r="N9" s="3" t="s">
        <v>11</v>
      </c>
      <c r="O9" s="4">
        <v>37.666666666666664</v>
      </c>
      <c r="R9" s="3" t="s">
        <v>11</v>
      </c>
      <c r="S9" s="4">
        <v>6.2</v>
      </c>
      <c r="AG9" s="3" t="s">
        <v>41</v>
      </c>
      <c r="AH9" s="1">
        <v>4604</v>
      </c>
      <c r="AI9" s="8">
        <v>0.49956597222222221</v>
      </c>
      <c r="AQ9" s="3" t="s">
        <v>49</v>
      </c>
      <c r="AR9" s="1">
        <v>1207</v>
      </c>
    </row>
    <row r="10" spans="1:62" x14ac:dyDescent="0.35">
      <c r="A10" s="4">
        <v>36.323586744639378</v>
      </c>
      <c r="C10" s="3" t="s">
        <v>12</v>
      </c>
      <c r="D10" s="1">
        <v>12</v>
      </c>
      <c r="N10" s="3" t="s">
        <v>12</v>
      </c>
      <c r="O10" s="4">
        <v>36.083333333333336</v>
      </c>
      <c r="R10" s="3" t="s">
        <v>12</v>
      </c>
      <c r="S10" s="4">
        <v>3.75</v>
      </c>
      <c r="AG10" s="3" t="s">
        <v>1</v>
      </c>
      <c r="AH10" s="1">
        <v>9216</v>
      </c>
      <c r="AI10" s="8">
        <v>1</v>
      </c>
      <c r="AQ10" s="3" t="s">
        <v>50</v>
      </c>
      <c r="AR10" s="1">
        <v>1191</v>
      </c>
    </row>
    <row r="11" spans="1:62" x14ac:dyDescent="0.35">
      <c r="C11" s="3" t="s">
        <v>13</v>
      </c>
      <c r="D11" s="1">
        <v>21</v>
      </c>
      <c r="H11" t="s">
        <v>37</v>
      </c>
      <c r="N11" s="3" t="s">
        <v>13</v>
      </c>
      <c r="O11" s="4">
        <v>43.523809523809526</v>
      </c>
      <c r="R11" s="3" t="s">
        <v>13</v>
      </c>
      <c r="S11" s="4">
        <v>6.5</v>
      </c>
      <c r="AQ11" s="3" t="s">
        <v>51</v>
      </c>
      <c r="AR11" s="1">
        <v>1137</v>
      </c>
      <c r="BG11" s="2" t="s">
        <v>0</v>
      </c>
      <c r="BH11" t="s">
        <v>56</v>
      </c>
    </row>
    <row r="12" spans="1:62" x14ac:dyDescent="0.35">
      <c r="C12" s="3" t="s">
        <v>14</v>
      </c>
      <c r="D12" s="1">
        <v>12</v>
      </c>
      <c r="N12" s="3" t="s">
        <v>14</v>
      </c>
      <c r="O12" s="4">
        <v>29.5</v>
      </c>
      <c r="R12" s="3" t="s">
        <v>14</v>
      </c>
      <c r="S12" s="4">
        <v>3</v>
      </c>
      <c r="AQ12" s="3" t="s">
        <v>52</v>
      </c>
      <c r="AR12" s="1">
        <v>1147</v>
      </c>
      <c r="BG12" s="3" t="s">
        <v>38</v>
      </c>
      <c r="BH12" s="1">
        <v>5467</v>
      </c>
    </row>
    <row r="13" spans="1:62" x14ac:dyDescent="0.35">
      <c r="C13" s="3" t="s">
        <v>15</v>
      </c>
      <c r="D13" s="1">
        <v>13</v>
      </c>
      <c r="N13" s="3" t="s">
        <v>15</v>
      </c>
      <c r="O13" s="4">
        <v>38.07692307692308</v>
      </c>
      <c r="R13" s="3" t="s">
        <v>15</v>
      </c>
      <c r="S13" s="4">
        <v>4.5</v>
      </c>
      <c r="AQ13" s="3" t="s">
        <v>53</v>
      </c>
      <c r="AR13" s="1">
        <v>1150</v>
      </c>
      <c r="BG13" s="3" t="s">
        <v>39</v>
      </c>
      <c r="BH13" s="1">
        <v>3749</v>
      </c>
      <c r="BJ13" t="s">
        <v>57</v>
      </c>
    </row>
    <row r="14" spans="1:62" x14ac:dyDescent="0.35">
      <c r="C14" s="3" t="s">
        <v>16</v>
      </c>
      <c r="D14" s="1">
        <v>13</v>
      </c>
      <c r="N14" s="3" t="s">
        <v>16</v>
      </c>
      <c r="O14" s="4">
        <v>35.846153846153847</v>
      </c>
      <c r="R14" s="3" t="s">
        <v>16</v>
      </c>
      <c r="S14" s="4">
        <v>6</v>
      </c>
      <c r="AQ14" s="3" t="s">
        <v>54</v>
      </c>
      <c r="AR14" s="1">
        <v>1048</v>
      </c>
      <c r="BG14" s="3" t="s">
        <v>1</v>
      </c>
      <c r="BH14" s="1">
        <v>9216</v>
      </c>
    </row>
    <row r="15" spans="1:62" x14ac:dyDescent="0.35">
      <c r="A15" t="s">
        <v>5</v>
      </c>
      <c r="C15" s="3" t="s">
        <v>17</v>
      </c>
      <c r="D15" s="1">
        <v>16</v>
      </c>
      <c r="N15" s="3" t="s">
        <v>17</v>
      </c>
      <c r="O15" s="4">
        <v>32.625</v>
      </c>
      <c r="R15" s="3" t="s">
        <v>17</v>
      </c>
      <c r="S15" s="4">
        <v>5.2</v>
      </c>
      <c r="AQ15" s="3" t="s">
        <v>1</v>
      </c>
      <c r="AR15" s="1">
        <v>9216</v>
      </c>
    </row>
    <row r="16" spans="1:62" x14ac:dyDescent="0.35">
      <c r="A16" s="4">
        <v>4.9591836734693882</v>
      </c>
      <c r="C16" s="3" t="s">
        <v>18</v>
      </c>
      <c r="D16" s="1">
        <v>20</v>
      </c>
      <c r="N16" s="3" t="s">
        <v>18</v>
      </c>
      <c r="O16" s="4">
        <v>39.200000000000003</v>
      </c>
      <c r="R16" s="3" t="s">
        <v>18</v>
      </c>
      <c r="S16" s="4">
        <v>4.4000000000000004</v>
      </c>
    </row>
    <row r="17" spans="3:80" x14ac:dyDescent="0.35">
      <c r="C17" s="3" t="s">
        <v>19</v>
      </c>
      <c r="D17" s="1">
        <v>25</v>
      </c>
      <c r="N17" s="3" t="s">
        <v>19</v>
      </c>
      <c r="O17" s="4">
        <v>35.28</v>
      </c>
      <c r="R17" s="3" t="s">
        <v>19</v>
      </c>
      <c r="S17" s="4">
        <v>3.4545454545454546</v>
      </c>
    </row>
    <row r="18" spans="3:80" x14ac:dyDescent="0.35">
      <c r="C18" s="3" t="s">
        <v>20</v>
      </c>
      <c r="D18" s="1">
        <v>20</v>
      </c>
      <c r="N18" s="3" t="s">
        <v>20</v>
      </c>
      <c r="O18" s="4">
        <v>32.549999999999997</v>
      </c>
      <c r="R18" s="3" t="s">
        <v>20</v>
      </c>
      <c r="S18" s="4">
        <v>4.4000000000000004</v>
      </c>
      <c r="AG18" s="12" t="s">
        <v>46</v>
      </c>
      <c r="AH18" s="12" t="s">
        <v>44</v>
      </c>
      <c r="AI18" s="12" t="s">
        <v>45</v>
      </c>
      <c r="AJ18" s="13"/>
      <c r="AK18" s="13"/>
      <c r="AL18" s="13"/>
    </row>
    <row r="19" spans="3:80" x14ac:dyDescent="0.35">
      <c r="C19" s="3" t="s">
        <v>21</v>
      </c>
      <c r="D19" s="1">
        <v>14</v>
      </c>
      <c r="N19" s="3" t="s">
        <v>21</v>
      </c>
      <c r="O19" s="4">
        <v>35.642857142857146</v>
      </c>
      <c r="R19" s="3" t="s">
        <v>21</v>
      </c>
      <c r="S19" s="4">
        <v>5.833333333333333</v>
      </c>
      <c r="AG19" s="10" t="str">
        <f>AG9</f>
        <v>Not Admitted</v>
      </c>
      <c r="AH19" s="10">
        <f>AH8</f>
        <v>4612</v>
      </c>
      <c r="AI19" s="11">
        <f>AI8</f>
        <v>0.50043402777777779</v>
      </c>
      <c r="AJ19" s="9"/>
      <c r="AK19" s="9"/>
      <c r="AL19" s="9"/>
      <c r="BO19" s="2" t="s">
        <v>0</v>
      </c>
      <c r="BP19" t="s">
        <v>60</v>
      </c>
      <c r="BR19" s="2" t="s">
        <v>0</v>
      </c>
      <c r="BS19" t="s">
        <v>60</v>
      </c>
      <c r="CA19" s="2" t="s">
        <v>0</v>
      </c>
      <c r="CB19" t="s">
        <v>71</v>
      </c>
    </row>
    <row r="20" spans="3:80" x14ac:dyDescent="0.35">
      <c r="C20" s="3" t="s">
        <v>22</v>
      </c>
      <c r="D20" s="1">
        <v>17</v>
      </c>
      <c r="N20" s="3" t="s">
        <v>22</v>
      </c>
      <c r="O20" s="4">
        <v>38.764705882352942</v>
      </c>
      <c r="R20" s="3" t="s">
        <v>22</v>
      </c>
      <c r="S20" s="4">
        <v>4.4444444444444446</v>
      </c>
      <c r="AG20" s="10" t="str">
        <f>AG10</f>
        <v>Grand Total</v>
      </c>
      <c r="AH20" s="10">
        <f>AH9</f>
        <v>4604</v>
      </c>
      <c r="AI20" s="11">
        <f>AI9</f>
        <v>0.49956597222222221</v>
      </c>
      <c r="AJ20" s="9"/>
      <c r="AK20" s="9"/>
      <c r="AL20" s="9"/>
      <c r="BO20" s="3" t="s">
        <v>58</v>
      </c>
      <c r="BP20" s="1">
        <v>4487</v>
      </c>
      <c r="BR20" s="3" t="s">
        <v>58</v>
      </c>
      <c r="BS20" s="1">
        <v>241</v>
      </c>
      <c r="CA20" s="3" t="s">
        <v>68</v>
      </c>
      <c r="CB20" s="1">
        <v>4</v>
      </c>
    </row>
    <row r="21" spans="3:80" x14ac:dyDescent="0.35">
      <c r="C21" s="3" t="s">
        <v>23</v>
      </c>
      <c r="D21" s="1">
        <v>20</v>
      </c>
      <c r="N21" s="3" t="s">
        <v>23</v>
      </c>
      <c r="O21" s="4">
        <v>39.9</v>
      </c>
      <c r="R21" s="3" t="s">
        <v>23</v>
      </c>
      <c r="S21" s="4">
        <v>5.333333333333333</v>
      </c>
      <c r="BO21" s="3" t="s">
        <v>59</v>
      </c>
      <c r="BP21" s="1">
        <v>4729</v>
      </c>
      <c r="BR21" s="3" t="s">
        <v>59</v>
      </c>
      <c r="BS21" s="1">
        <v>272</v>
      </c>
      <c r="BU21" t="s">
        <v>70</v>
      </c>
      <c r="CA21" s="3" t="s">
        <v>67</v>
      </c>
      <c r="CB21" s="1">
        <v>5</v>
      </c>
    </row>
    <row r="22" spans="3:80" x14ac:dyDescent="0.35">
      <c r="C22" s="3" t="s">
        <v>24</v>
      </c>
      <c r="D22" s="1">
        <v>10</v>
      </c>
      <c r="N22" s="3" t="s">
        <v>24</v>
      </c>
      <c r="O22" s="4">
        <v>41.6</v>
      </c>
      <c r="R22" s="3" t="s">
        <v>24</v>
      </c>
      <c r="S22" s="4">
        <v>5.333333333333333</v>
      </c>
      <c r="BO22" s="3" t="s">
        <v>1</v>
      </c>
      <c r="BP22" s="1">
        <v>9216</v>
      </c>
      <c r="BR22" s="3" t="s">
        <v>1</v>
      </c>
      <c r="BS22" s="1">
        <v>513</v>
      </c>
      <c r="CA22" s="3" t="s">
        <v>69</v>
      </c>
      <c r="CB22" s="1">
        <v>9</v>
      </c>
    </row>
    <row r="23" spans="3:80" x14ac:dyDescent="0.35">
      <c r="C23" s="3" t="s">
        <v>25</v>
      </c>
      <c r="D23" s="1">
        <v>17</v>
      </c>
      <c r="N23" s="3" t="s">
        <v>25</v>
      </c>
      <c r="O23" s="4">
        <v>39.470588235294116</v>
      </c>
      <c r="R23" s="3" t="s">
        <v>25</v>
      </c>
      <c r="S23" s="4">
        <v>5.5714285714285712</v>
      </c>
      <c r="AT23" s="2" t="s">
        <v>0</v>
      </c>
      <c r="AU23" t="s">
        <v>56</v>
      </c>
      <c r="CA23" s="3" t="s">
        <v>65</v>
      </c>
      <c r="CB23" s="1">
        <v>14</v>
      </c>
    </row>
    <row r="24" spans="3:80" x14ac:dyDescent="0.35">
      <c r="C24" s="3" t="s">
        <v>26</v>
      </c>
      <c r="D24" s="1">
        <v>15</v>
      </c>
      <c r="N24" s="3" t="s">
        <v>26</v>
      </c>
      <c r="O24" s="4">
        <v>27.733333333333334</v>
      </c>
      <c r="R24" s="3" t="s">
        <v>26</v>
      </c>
      <c r="S24" s="4">
        <v>5</v>
      </c>
      <c r="AT24" s="3" t="s">
        <v>47</v>
      </c>
      <c r="AU24" s="1">
        <v>76</v>
      </c>
      <c r="CA24" s="3" t="s">
        <v>66</v>
      </c>
      <c r="CB24" s="1">
        <v>14</v>
      </c>
    </row>
    <row r="25" spans="3:80" x14ac:dyDescent="0.35">
      <c r="C25" s="3" t="s">
        <v>27</v>
      </c>
      <c r="D25" s="1">
        <v>16</v>
      </c>
      <c r="N25" s="3" t="s">
        <v>27</v>
      </c>
      <c r="O25" s="4">
        <v>36.875</v>
      </c>
      <c r="R25" s="3" t="s">
        <v>27</v>
      </c>
      <c r="S25" s="4">
        <v>6.4</v>
      </c>
      <c r="AG25" s="2" t="s">
        <v>0</v>
      </c>
      <c r="AH25" t="s">
        <v>42</v>
      </c>
      <c r="AI25" t="s">
        <v>43</v>
      </c>
      <c r="AT25" s="3" t="s">
        <v>48</v>
      </c>
      <c r="AU25" s="1">
        <v>69</v>
      </c>
      <c r="BO25" s="2" t="s">
        <v>0</v>
      </c>
      <c r="BP25" t="s">
        <v>61</v>
      </c>
      <c r="CA25" s="3" t="s">
        <v>64</v>
      </c>
      <c r="CB25" s="1">
        <v>65</v>
      </c>
    </row>
    <row r="26" spans="3:80" x14ac:dyDescent="0.35">
      <c r="C26" s="3" t="s">
        <v>28</v>
      </c>
      <c r="D26" s="1">
        <v>18</v>
      </c>
      <c r="N26" s="3" t="s">
        <v>28</v>
      </c>
      <c r="O26" s="4">
        <v>40.333333333333336</v>
      </c>
      <c r="R26" s="3" t="s">
        <v>28</v>
      </c>
      <c r="S26" s="4">
        <v>5.333333333333333</v>
      </c>
      <c r="AG26" s="3" t="s">
        <v>40</v>
      </c>
      <c r="AH26" s="1">
        <v>269</v>
      </c>
      <c r="AI26" s="8">
        <v>0.52436647173489281</v>
      </c>
      <c r="AT26" s="3" t="s">
        <v>49</v>
      </c>
      <c r="AU26" s="1">
        <v>64</v>
      </c>
      <c r="BO26" s="3" t="s">
        <v>38</v>
      </c>
      <c r="BP26" s="8">
        <v>0.61598440545808963</v>
      </c>
      <c r="CA26" s="3" t="s">
        <v>63</v>
      </c>
      <c r="CB26" s="1">
        <v>103</v>
      </c>
    </row>
    <row r="27" spans="3:80" x14ac:dyDescent="0.35">
      <c r="C27" s="3" t="s">
        <v>29</v>
      </c>
      <c r="D27" s="1">
        <v>16</v>
      </c>
      <c r="N27" s="3" t="s">
        <v>29</v>
      </c>
      <c r="O27" s="4">
        <v>36.5</v>
      </c>
      <c r="R27" s="3" t="s">
        <v>29</v>
      </c>
      <c r="S27" s="4">
        <v>3.75</v>
      </c>
      <c r="AG27" s="3" t="s">
        <v>41</v>
      </c>
      <c r="AH27" s="1">
        <v>244</v>
      </c>
      <c r="AI27" s="8">
        <v>0.47563352826510719</v>
      </c>
      <c r="AT27" s="3" t="s">
        <v>50</v>
      </c>
      <c r="AU27" s="1">
        <v>59</v>
      </c>
      <c r="BO27" s="3" t="s">
        <v>39</v>
      </c>
      <c r="BP27" s="8">
        <v>0.38401559454191031</v>
      </c>
      <c r="CA27" s="3" t="s">
        <v>62</v>
      </c>
      <c r="CB27" s="1">
        <v>299</v>
      </c>
    </row>
    <row r="28" spans="3:80" x14ac:dyDescent="0.35">
      <c r="C28" s="3" t="s">
        <v>30</v>
      </c>
      <c r="D28" s="1">
        <v>15</v>
      </c>
      <c r="N28" s="3" t="s">
        <v>30</v>
      </c>
      <c r="O28" s="4">
        <v>32.866666666666667</v>
      </c>
      <c r="R28" s="3" t="s">
        <v>30</v>
      </c>
      <c r="S28" s="4">
        <v>6.333333333333333</v>
      </c>
      <c r="AG28" s="3" t="s">
        <v>1</v>
      </c>
      <c r="AH28" s="1">
        <v>513</v>
      </c>
      <c r="AI28" s="8">
        <v>1</v>
      </c>
      <c r="AT28" s="3" t="s">
        <v>51</v>
      </c>
      <c r="AU28" s="1">
        <v>58</v>
      </c>
      <c r="BO28" s="3" t="s">
        <v>1</v>
      </c>
      <c r="BP28" s="8">
        <v>1</v>
      </c>
      <c r="CA28" s="3" t="s">
        <v>1</v>
      </c>
      <c r="CB28" s="1">
        <v>513</v>
      </c>
    </row>
    <row r="29" spans="3:80" x14ac:dyDescent="0.35">
      <c r="C29" s="3" t="s">
        <v>31</v>
      </c>
      <c r="D29" s="1">
        <v>14</v>
      </c>
      <c r="N29" s="3" t="s">
        <v>31</v>
      </c>
      <c r="O29" s="4">
        <v>36.642857142857146</v>
      </c>
      <c r="R29" s="3" t="s">
        <v>31</v>
      </c>
      <c r="S29" s="4">
        <v>10</v>
      </c>
      <c r="AT29" s="3" t="s">
        <v>52</v>
      </c>
      <c r="AU29" s="1">
        <v>66</v>
      </c>
    </row>
    <row r="30" spans="3:80" x14ac:dyDescent="0.35">
      <c r="C30" s="3" t="s">
        <v>32</v>
      </c>
      <c r="D30" s="1">
        <v>16</v>
      </c>
      <c r="N30" s="3" t="s">
        <v>32</v>
      </c>
      <c r="O30" s="4">
        <v>36.5625</v>
      </c>
      <c r="R30" s="3" t="s">
        <v>32</v>
      </c>
      <c r="S30" s="4">
        <v>5</v>
      </c>
      <c r="AT30" s="3" t="s">
        <v>53</v>
      </c>
      <c r="AU30" s="1">
        <v>67</v>
      </c>
    </row>
    <row r="31" spans="3:80" x14ac:dyDescent="0.35">
      <c r="C31" s="3" t="s">
        <v>33</v>
      </c>
      <c r="D31" s="1">
        <v>20</v>
      </c>
      <c r="N31" s="3" t="s">
        <v>33</v>
      </c>
      <c r="O31" s="4">
        <v>32.15</v>
      </c>
      <c r="R31" s="3" t="s">
        <v>33</v>
      </c>
      <c r="S31" s="4">
        <v>5.333333333333333</v>
      </c>
      <c r="AT31" s="3" t="s">
        <v>54</v>
      </c>
      <c r="AU31" s="1">
        <v>54</v>
      </c>
    </row>
    <row r="32" spans="3:80" x14ac:dyDescent="0.35">
      <c r="C32" s="3" t="s">
        <v>34</v>
      </c>
      <c r="D32" s="1">
        <v>19</v>
      </c>
      <c r="N32" s="3" t="s">
        <v>34</v>
      </c>
      <c r="O32" s="4">
        <v>38.368421052631582</v>
      </c>
      <c r="R32" s="3" t="s">
        <v>34</v>
      </c>
      <c r="S32" s="4">
        <v>4.8</v>
      </c>
      <c r="AT32" s="3" t="s">
        <v>1</v>
      </c>
      <c r="AU32" s="1">
        <v>513</v>
      </c>
    </row>
    <row r="33" spans="3:80" x14ac:dyDescent="0.35">
      <c r="C33" s="3" t="s">
        <v>35</v>
      </c>
      <c r="D33" s="1">
        <v>14</v>
      </c>
      <c r="N33" s="3" t="s">
        <v>35</v>
      </c>
      <c r="O33" s="4">
        <v>33.071428571428569</v>
      </c>
      <c r="R33" s="3" t="s">
        <v>35</v>
      </c>
      <c r="S33" s="4">
        <v>5</v>
      </c>
    </row>
    <row r="34" spans="3:80" x14ac:dyDescent="0.35">
      <c r="C34" s="3" t="s">
        <v>36</v>
      </c>
      <c r="D34" s="1">
        <v>18</v>
      </c>
      <c r="N34" s="3" t="s">
        <v>36</v>
      </c>
      <c r="O34" s="4">
        <v>36.444444444444443</v>
      </c>
      <c r="R34" s="3" t="s">
        <v>36</v>
      </c>
      <c r="S34" s="4">
        <v>1.4</v>
      </c>
    </row>
    <row r="35" spans="3:80" x14ac:dyDescent="0.35">
      <c r="C35" s="3" t="s">
        <v>1</v>
      </c>
      <c r="D35" s="1">
        <v>513</v>
      </c>
      <c r="N35" s="3" t="s">
        <v>1</v>
      </c>
      <c r="O35" s="1">
        <v>36.323586744639378</v>
      </c>
      <c r="R35" s="3" t="s">
        <v>1</v>
      </c>
      <c r="S35" s="1">
        <v>4.9591836734693882</v>
      </c>
    </row>
    <row r="41" spans="3:80" x14ac:dyDescent="0.35">
      <c r="CB41" s="2" t="s">
        <v>0</v>
      </c>
    </row>
    <row r="42" spans="3:80" x14ac:dyDescent="0.35">
      <c r="CB42" s="3" t="s">
        <v>72</v>
      </c>
    </row>
    <row r="43" spans="3:80" x14ac:dyDescent="0.35">
      <c r="CB43" s="3" t="s">
        <v>73</v>
      </c>
    </row>
    <row r="44" spans="3:80" x14ac:dyDescent="0.35">
      <c r="CB44" s="3" t="s">
        <v>1</v>
      </c>
    </row>
  </sheetData>
  <pageMargins left="0.7" right="0.7" top="0.75" bottom="0.75" header="0.3" footer="0.3"/>
  <pageSetup orientation="portrait" r:id="rId17"/>
  <drawing r:id="rId18"/>
  <extLst>
    <ext xmlns:x14="http://schemas.microsoft.com/office/spreadsheetml/2009/9/main" uri="{A8765BA9-456A-4dab-B4F3-ACF838C121DE}">
      <x14:slicerList>
        <x14:slicer r:id="rId19"/>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A3" sqref="A3"/>
    </sheetView>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T21"/>
  <sheetViews>
    <sheetView workbookViewId="0">
      <selection activeCell="D20" sqref="D20:N20"/>
    </sheetView>
  </sheetViews>
  <sheetFormatPr defaultRowHeight="14.5" x14ac:dyDescent="0.35"/>
  <sheetData>
    <row r="2" spans="1:20" x14ac:dyDescent="0.35">
      <c r="A2" s="6"/>
      <c r="B2" s="6"/>
      <c r="C2" s="6"/>
      <c r="D2" s="6"/>
      <c r="E2" s="6"/>
      <c r="F2" s="6"/>
      <c r="G2" s="6"/>
      <c r="H2" s="6"/>
      <c r="I2" s="6"/>
      <c r="J2" s="6"/>
      <c r="K2" s="6"/>
      <c r="L2" s="6"/>
      <c r="M2" s="6"/>
      <c r="N2" s="6"/>
      <c r="O2" s="6"/>
      <c r="P2" s="6"/>
      <c r="Q2" s="6"/>
      <c r="R2" s="6"/>
      <c r="S2" s="6"/>
      <c r="T2" s="6"/>
    </row>
    <row r="3" spans="1:20" x14ac:dyDescent="0.35">
      <c r="A3" s="6"/>
      <c r="B3" s="6"/>
      <c r="C3" s="6"/>
      <c r="D3" s="6"/>
      <c r="E3" s="6"/>
      <c r="F3" s="6"/>
      <c r="G3" s="6"/>
      <c r="H3" s="6"/>
      <c r="I3" s="6"/>
      <c r="J3" s="6"/>
      <c r="K3" s="6"/>
      <c r="L3" s="6"/>
      <c r="M3" s="6"/>
      <c r="N3" s="6"/>
      <c r="O3" s="6"/>
      <c r="P3" s="6"/>
      <c r="Q3" s="6"/>
      <c r="R3" s="6"/>
      <c r="S3" s="6"/>
      <c r="T3" s="6"/>
    </row>
    <row r="4" spans="1:20" x14ac:dyDescent="0.35">
      <c r="A4" s="6"/>
      <c r="B4" s="6"/>
      <c r="C4" s="6"/>
      <c r="D4" s="6"/>
      <c r="E4" s="6"/>
      <c r="F4" s="6"/>
      <c r="G4" s="6"/>
      <c r="H4" s="6"/>
      <c r="I4" s="6"/>
      <c r="J4" s="6"/>
      <c r="K4" s="6"/>
      <c r="L4" s="6"/>
      <c r="M4" s="6"/>
      <c r="N4" s="6"/>
      <c r="O4" s="6"/>
      <c r="P4" s="6"/>
      <c r="Q4" s="6"/>
      <c r="R4" s="6"/>
      <c r="S4" s="6"/>
      <c r="T4" s="6"/>
    </row>
    <row r="5" spans="1:20" x14ac:dyDescent="0.35">
      <c r="A5" s="6"/>
      <c r="B5" s="6"/>
      <c r="C5" s="6"/>
      <c r="D5" s="6"/>
      <c r="E5" s="6"/>
      <c r="F5" s="6"/>
      <c r="G5" s="6"/>
      <c r="H5" s="6"/>
      <c r="I5" s="6"/>
      <c r="J5" s="6"/>
      <c r="K5" s="6"/>
      <c r="L5" s="6"/>
      <c r="M5" s="6"/>
      <c r="N5" s="6"/>
      <c r="O5" s="6"/>
      <c r="P5" s="6"/>
      <c r="Q5" s="6"/>
      <c r="R5" s="6"/>
      <c r="S5" s="6"/>
      <c r="T5" s="6"/>
    </row>
    <row r="6" spans="1:20" x14ac:dyDescent="0.35">
      <c r="A6" s="6"/>
      <c r="B6" s="6"/>
      <c r="C6" s="6"/>
      <c r="D6" s="6"/>
      <c r="E6" s="6"/>
      <c r="F6" s="6"/>
      <c r="G6" s="6"/>
      <c r="H6" s="6"/>
      <c r="I6" s="6"/>
      <c r="J6" s="6"/>
      <c r="K6" s="6"/>
      <c r="L6" s="6"/>
      <c r="M6" s="6"/>
      <c r="N6" s="6"/>
      <c r="O6" s="6"/>
      <c r="P6" s="6"/>
      <c r="Q6" s="6"/>
      <c r="R6" s="6"/>
      <c r="S6" s="6"/>
      <c r="T6" s="6"/>
    </row>
    <row r="7" spans="1:20" x14ac:dyDescent="0.35">
      <c r="A7" s="6"/>
      <c r="B7" s="6"/>
      <c r="C7" s="6"/>
      <c r="D7" s="6"/>
      <c r="E7" s="6"/>
      <c r="F7" s="6"/>
      <c r="G7" s="6"/>
      <c r="H7" s="6"/>
      <c r="I7" s="6"/>
      <c r="J7" s="6"/>
      <c r="K7" s="6"/>
      <c r="L7" s="6"/>
      <c r="M7" s="6"/>
      <c r="N7" s="6"/>
      <c r="O7" s="6"/>
      <c r="P7" s="6"/>
      <c r="Q7" s="6"/>
      <c r="R7" s="6"/>
      <c r="S7" s="6"/>
      <c r="T7" s="6"/>
    </row>
    <row r="8" spans="1:20" x14ac:dyDescent="0.35">
      <c r="A8" s="6"/>
      <c r="B8" s="6"/>
      <c r="C8" s="6"/>
      <c r="D8" s="6"/>
      <c r="E8" s="6"/>
      <c r="F8" s="6"/>
      <c r="G8" s="6"/>
      <c r="H8" s="6"/>
      <c r="I8" s="6"/>
      <c r="J8" s="6"/>
      <c r="K8" s="6"/>
      <c r="L8" s="6"/>
      <c r="M8" s="6"/>
      <c r="N8" s="6"/>
      <c r="O8" s="6"/>
      <c r="P8" s="6"/>
      <c r="Q8" s="6"/>
      <c r="R8" s="6"/>
      <c r="S8" s="6"/>
      <c r="T8" s="6"/>
    </row>
    <row r="9" spans="1:20" x14ac:dyDescent="0.35">
      <c r="A9" s="6"/>
      <c r="B9" s="6"/>
      <c r="C9" s="6"/>
      <c r="D9" s="6"/>
      <c r="E9" s="6"/>
      <c r="F9" s="6"/>
      <c r="G9" s="6"/>
      <c r="H9" s="6"/>
      <c r="I9" s="6"/>
      <c r="J9" s="6"/>
      <c r="K9" s="6"/>
      <c r="L9" s="6"/>
      <c r="M9" s="6"/>
      <c r="N9" s="6"/>
      <c r="O9" s="6"/>
      <c r="P9" s="6"/>
      <c r="Q9" s="6"/>
      <c r="R9" s="6"/>
      <c r="S9" s="6"/>
      <c r="T9" s="6"/>
    </row>
    <row r="10" spans="1:20" x14ac:dyDescent="0.35">
      <c r="A10" s="6"/>
      <c r="B10" s="6"/>
      <c r="C10" s="6"/>
      <c r="D10" s="6"/>
      <c r="E10" s="6"/>
      <c r="F10" s="6"/>
      <c r="G10" s="6"/>
      <c r="H10" s="6"/>
      <c r="I10" s="6"/>
      <c r="J10" s="6"/>
      <c r="K10" s="6"/>
      <c r="L10" s="6"/>
      <c r="M10" s="6"/>
      <c r="N10" s="6"/>
      <c r="O10" s="6"/>
      <c r="P10" s="6"/>
      <c r="Q10" s="6"/>
      <c r="R10" s="6"/>
      <c r="S10" s="6"/>
      <c r="T10" s="6"/>
    </row>
    <row r="11" spans="1:20" x14ac:dyDescent="0.35">
      <c r="A11" s="6"/>
      <c r="B11" s="6"/>
      <c r="C11" s="6"/>
      <c r="D11" s="6"/>
      <c r="E11" s="6"/>
      <c r="F11" s="6"/>
      <c r="G11" s="6"/>
      <c r="H11" s="6"/>
      <c r="I11" s="6"/>
      <c r="J11" s="6"/>
      <c r="K11" s="6"/>
      <c r="L11" s="6"/>
      <c r="M11" s="6"/>
      <c r="N11" s="6"/>
      <c r="O11" s="6"/>
      <c r="P11" s="6"/>
      <c r="Q11" s="6"/>
      <c r="R11" s="6"/>
      <c r="S11" s="6"/>
      <c r="T11" s="6"/>
    </row>
    <row r="12" spans="1:20" x14ac:dyDescent="0.35">
      <c r="A12" s="6"/>
      <c r="B12" s="6"/>
      <c r="C12" s="6"/>
      <c r="D12" s="6"/>
      <c r="E12" s="6"/>
      <c r="F12" s="6"/>
      <c r="G12" s="6"/>
      <c r="H12" s="6"/>
      <c r="I12" s="6"/>
      <c r="J12" s="6"/>
      <c r="K12" s="6"/>
      <c r="L12" s="6"/>
      <c r="M12" s="6"/>
      <c r="N12" s="6"/>
      <c r="O12" s="6"/>
      <c r="P12" s="6"/>
      <c r="Q12" s="6"/>
      <c r="R12" s="6"/>
      <c r="S12" s="6"/>
      <c r="T12" s="6"/>
    </row>
    <row r="13" spans="1:20" x14ac:dyDescent="0.35">
      <c r="A13" s="6"/>
      <c r="B13" s="6"/>
      <c r="C13" s="6"/>
      <c r="D13" s="6"/>
      <c r="E13" s="6"/>
      <c r="F13" s="6"/>
      <c r="G13" s="6"/>
      <c r="H13" s="6"/>
      <c r="I13" s="6"/>
      <c r="J13" s="6"/>
      <c r="K13" s="6"/>
      <c r="L13" s="6"/>
      <c r="M13" s="6"/>
      <c r="N13" s="6"/>
      <c r="O13" s="6"/>
      <c r="P13" s="6"/>
      <c r="Q13" s="6"/>
      <c r="R13" s="6"/>
      <c r="S13" s="6"/>
      <c r="T13" s="6"/>
    </row>
    <row r="14" spans="1:20" x14ac:dyDescent="0.35">
      <c r="A14" s="6"/>
      <c r="B14" s="6"/>
      <c r="C14" s="6"/>
      <c r="D14" s="6"/>
      <c r="E14" s="6"/>
      <c r="F14" s="6"/>
      <c r="G14" s="6"/>
      <c r="H14" s="6"/>
      <c r="I14" s="6"/>
      <c r="J14" s="6"/>
      <c r="K14" s="6"/>
      <c r="L14" s="6"/>
      <c r="M14" s="6"/>
      <c r="N14" s="6"/>
      <c r="O14" s="6"/>
      <c r="P14" s="6"/>
      <c r="Q14" s="6"/>
      <c r="R14" s="6"/>
      <c r="S14" s="6"/>
      <c r="T14" s="6"/>
    </row>
    <row r="15" spans="1:20" x14ac:dyDescent="0.35">
      <c r="A15" s="6"/>
      <c r="B15" s="6"/>
      <c r="C15" s="6"/>
      <c r="D15" s="6"/>
      <c r="E15" s="6"/>
      <c r="F15" s="6"/>
      <c r="G15" s="6"/>
      <c r="H15" s="6"/>
      <c r="I15" s="6"/>
      <c r="J15" s="6"/>
      <c r="K15" s="6"/>
      <c r="L15" s="6"/>
      <c r="M15" s="6"/>
      <c r="N15" s="6"/>
      <c r="O15" s="6"/>
      <c r="P15" s="6"/>
      <c r="Q15" s="6"/>
      <c r="R15" s="6"/>
      <c r="S15" s="6"/>
      <c r="T15" s="6"/>
    </row>
    <row r="16" spans="1:20" x14ac:dyDescent="0.35">
      <c r="A16" s="6"/>
      <c r="B16" s="6"/>
      <c r="C16" s="6"/>
      <c r="D16" s="6"/>
      <c r="E16" s="6"/>
      <c r="F16" s="6"/>
      <c r="G16" s="6"/>
      <c r="H16" s="6"/>
      <c r="I16" s="6"/>
      <c r="J16" s="6"/>
      <c r="K16" s="6"/>
      <c r="L16" s="6"/>
      <c r="M16" s="6"/>
      <c r="N16" s="6"/>
      <c r="O16" s="6"/>
      <c r="P16" s="6"/>
      <c r="Q16" s="6"/>
      <c r="R16" s="6"/>
      <c r="S16" s="6"/>
      <c r="T16" s="6"/>
    </row>
    <row r="17" spans="1:20" x14ac:dyDescent="0.35">
      <c r="A17" s="6"/>
      <c r="B17" s="6"/>
      <c r="C17" s="6"/>
      <c r="D17" s="6"/>
      <c r="E17" s="6"/>
      <c r="F17" s="6"/>
      <c r="G17" s="6"/>
      <c r="H17" s="6"/>
      <c r="I17" s="6"/>
      <c r="J17" s="6"/>
      <c r="K17" s="6"/>
      <c r="L17" s="6"/>
      <c r="M17" s="6"/>
      <c r="N17" s="6"/>
      <c r="O17" s="6"/>
      <c r="P17" s="6"/>
      <c r="Q17" s="6"/>
      <c r="R17" s="6"/>
      <c r="S17" s="6"/>
      <c r="T17" s="6"/>
    </row>
    <row r="18" spans="1:20" x14ac:dyDescent="0.35">
      <c r="A18" s="6"/>
      <c r="B18" s="6"/>
      <c r="C18" s="6"/>
      <c r="D18" s="6"/>
      <c r="E18" s="6"/>
      <c r="F18" s="6"/>
      <c r="G18" s="6"/>
      <c r="H18" s="6"/>
      <c r="I18" s="6"/>
      <c r="J18" s="6"/>
      <c r="K18" s="6"/>
      <c r="L18" s="6"/>
      <c r="M18" s="6"/>
      <c r="N18" s="6"/>
      <c r="O18" s="6"/>
      <c r="P18" s="6"/>
      <c r="Q18" s="6"/>
      <c r="R18" s="6"/>
      <c r="S18" s="6"/>
      <c r="T18" s="6"/>
    </row>
    <row r="19" spans="1:20" x14ac:dyDescent="0.35">
      <c r="A19" s="6"/>
      <c r="B19" s="6"/>
      <c r="C19" s="6"/>
      <c r="D19" s="6"/>
      <c r="E19" s="6"/>
      <c r="F19" s="6"/>
      <c r="G19" s="6"/>
      <c r="H19" s="6"/>
      <c r="I19" s="6"/>
      <c r="J19" s="6"/>
      <c r="K19" s="6"/>
      <c r="L19" s="6"/>
      <c r="M19" s="6"/>
      <c r="N19" s="6"/>
      <c r="O19" s="6"/>
      <c r="P19" s="6"/>
      <c r="Q19" s="6"/>
      <c r="R19" s="6"/>
      <c r="S19" s="6"/>
      <c r="T19" s="6"/>
    </row>
    <row r="20" spans="1:20" ht="15.5" x14ac:dyDescent="0.35">
      <c r="A20" s="6"/>
      <c r="B20" s="6"/>
      <c r="C20" s="6"/>
      <c r="D20" s="7"/>
      <c r="E20" s="6"/>
      <c r="F20" s="6"/>
      <c r="G20" s="6"/>
      <c r="H20" s="6"/>
      <c r="I20" s="6"/>
      <c r="J20" s="6"/>
      <c r="K20" s="6"/>
      <c r="L20" s="6"/>
      <c r="M20" s="6"/>
      <c r="N20" s="6"/>
      <c r="O20" s="6"/>
      <c r="P20" s="6"/>
      <c r="Q20" s="6"/>
      <c r="R20" s="6"/>
      <c r="S20" s="6"/>
      <c r="T20" s="6"/>
    </row>
    <row r="21" spans="1:20" x14ac:dyDescent="0.35">
      <c r="A21" s="6"/>
      <c r="B21" s="6"/>
      <c r="C21" s="6"/>
      <c r="D21" s="6"/>
      <c r="E21" s="6"/>
      <c r="F21" s="6"/>
      <c r="G21" s="6"/>
      <c r="H21" s="6"/>
      <c r="I21" s="6"/>
      <c r="J21" s="6"/>
      <c r="K21" s="6"/>
      <c r="L21" s="6"/>
      <c r="M21" s="6"/>
      <c r="N21" s="6"/>
      <c r="O21" s="6"/>
      <c r="P21" s="6"/>
      <c r="Q21" s="6"/>
      <c r="R21" s="6"/>
      <c r="S21" s="6"/>
      <c r="T21" s="6"/>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A4" sqref="A4"/>
    </sheetView>
  </sheetViews>
  <sheetFormatPr defaultRowHeight="14.5" x14ac:dyDescent="0.3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
  <sheetViews>
    <sheetView tabSelected="1" zoomScale="103" workbookViewId="0"/>
  </sheetViews>
  <sheetFormatPr defaultRowHeight="14.5" x14ac:dyDescent="0.35"/>
  <cols>
    <col min="1" max="16384" width="8.7265625" style="5"/>
  </cols>
  <sheetData/>
  <pageMargins left="0.7" right="0.7" top="0.75" bottom="0.75" header="0.3" footer="0.3"/>
  <pageSetup orientation="portrait" r:id="rId1"/>
  <drawing r:id="rId2"/>
  <legacy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50F81AB7-DAA8-4E61-90F5-AE8CEF577524}">
  <ds:schemaRefs/>
</ds:datastoreItem>
</file>

<file path=customXml/itemProps2.xml><?xml version="1.0" encoding="utf-8"?>
<ds:datastoreItem xmlns:ds="http://schemas.openxmlformats.org/officeDocument/2006/customXml" ds:itemID="{6AB7C530-0ED5-45C4-9409-EB7F267CDC03}">
  <ds:schemaRefs/>
</ds:datastoreItem>
</file>

<file path=customXml/itemProps3.xml><?xml version="1.0" encoding="utf-8"?>
<ds:datastoreItem xmlns:ds="http://schemas.openxmlformats.org/officeDocument/2006/customXml" ds:itemID="{2D86A211-7B3D-4C05-9420-067EC81CC3EE}">
  <ds:schemaRefs/>
</ds:datastoreItem>
</file>

<file path=customXml/itemProps4.xml><?xml version="1.0" encoding="utf-8"?>
<ds:datastoreItem xmlns:ds="http://schemas.openxmlformats.org/officeDocument/2006/customXml" ds:itemID="{680985AB-8EDC-44DC-B28D-0165702767DD}">
  <ds:schemaRefs/>
</ds:datastoreItem>
</file>

<file path=customXml/itemProps5.xml><?xml version="1.0" encoding="utf-8"?>
<ds:datastoreItem xmlns:ds="http://schemas.openxmlformats.org/officeDocument/2006/customXml" ds:itemID="{659D1973-ABC5-406C-8EBC-9FB7511C3E74}">
  <ds:schemaRefs/>
</ds:datastoreItem>
</file>

<file path=customXml/itemProps6.xml><?xml version="1.0" encoding="utf-8"?>
<ds:datastoreItem xmlns:ds="http://schemas.openxmlformats.org/officeDocument/2006/customXml" ds:itemID="{2500086F-0F99-448D-8006-311D14F78936}">
  <ds:schemaRefs/>
</ds:datastoreItem>
</file>

<file path=customXml/itemProps7.xml><?xml version="1.0" encoding="utf-8"?>
<ds:datastoreItem xmlns:ds="http://schemas.openxmlformats.org/officeDocument/2006/customXml" ds:itemID="{8AF99307-135B-4351-9605-B03C9146EF25}">
  <ds:schemaRefs/>
</ds:datastoreItem>
</file>

<file path=customXml/itemProps8.xml><?xml version="1.0" encoding="utf-8"?>
<ds:datastoreItem xmlns:ds="http://schemas.openxmlformats.org/officeDocument/2006/customXml" ds:itemID="{A33A748A-90D0-4B52-B25F-1F836DF1CFC2}">
  <ds:schemaRefs/>
</ds:datastoreItem>
</file>

<file path=customXml/itemProps9.xml><?xml version="1.0" encoding="utf-8"?>
<ds:datastoreItem xmlns:ds="http://schemas.openxmlformats.org/officeDocument/2006/customXml" ds:itemID="{2BE19D17-08FD-4DE9-8F40-88F5448D6F69}">
  <ds:schemaRefs/>
</ds:datastoreItem>
</file>

<file path=customXml/itemProps10.xml><?xml version="1.0" encoding="utf-8"?>
<ds:datastoreItem xmlns:ds="http://schemas.openxmlformats.org/officeDocument/2006/customXml" ds:itemID="{84D4F869-217E-4009-8981-55573F2483B0}">
  <ds:schemaRefs/>
</ds:datastoreItem>
</file>

<file path=customXml/itemProps11.xml><?xml version="1.0" encoding="utf-8"?>
<ds:datastoreItem xmlns:ds="http://schemas.openxmlformats.org/officeDocument/2006/customXml" ds:itemID="{2D6F8BF5-6434-42AD-BAFE-3B5B4527D54C}">
  <ds:schemaRefs/>
</ds:datastoreItem>
</file>

<file path=customXml/itemProps12.xml><?xml version="1.0" encoding="utf-8"?>
<ds:datastoreItem xmlns:ds="http://schemas.openxmlformats.org/officeDocument/2006/customXml" ds:itemID="{D6948EFF-DEBC-44EA-B699-688B9F7B085D}">
  <ds:schemaRefs/>
</ds:datastoreItem>
</file>

<file path=customXml/itemProps13.xml><?xml version="1.0" encoding="utf-8"?>
<ds:datastoreItem xmlns:ds="http://schemas.openxmlformats.org/officeDocument/2006/customXml" ds:itemID="{DA9CAB66-701A-4733-B137-339F726941BA}">
  <ds:schemaRefs/>
</ds:datastoreItem>
</file>

<file path=customXml/itemProps14.xml><?xml version="1.0" encoding="utf-8"?>
<ds:datastoreItem xmlns:ds="http://schemas.openxmlformats.org/officeDocument/2006/customXml" ds:itemID="{1699CCED-F327-4FA8-9F0C-E0EB91390D38}">
  <ds:schemaRefs/>
</ds:datastoreItem>
</file>

<file path=customXml/itemProps15.xml><?xml version="1.0" encoding="utf-8"?>
<ds:datastoreItem xmlns:ds="http://schemas.openxmlformats.org/officeDocument/2006/customXml" ds:itemID="{BE5B7AC9-365F-4A84-84F5-2612FE252CBD}">
  <ds:schemaRefs/>
</ds:datastoreItem>
</file>

<file path=customXml/itemProps16.xml><?xml version="1.0" encoding="utf-8"?>
<ds:datastoreItem xmlns:ds="http://schemas.openxmlformats.org/officeDocument/2006/customXml" ds:itemID="{3AD50462-D364-4564-93F5-1FDCE9164780}">
  <ds:schemaRefs/>
</ds:datastoreItem>
</file>

<file path=customXml/itemProps17.xml><?xml version="1.0" encoding="utf-8"?>
<ds:datastoreItem xmlns:ds="http://schemas.openxmlformats.org/officeDocument/2006/customXml" ds:itemID="{2DC2CA7F-A0F5-4B43-93D1-149AB4D05D95}">
  <ds:schemaRefs/>
</ds:datastoreItem>
</file>

<file path=customXml/itemProps18.xml><?xml version="1.0" encoding="utf-8"?>
<ds:datastoreItem xmlns:ds="http://schemas.openxmlformats.org/officeDocument/2006/customXml" ds:itemID="{5F2815BA-5160-4BF2-83C6-1CA527B5E43F}">
  <ds:schemaRefs/>
</ds:datastoreItem>
</file>

<file path=customXml/itemProps19.xml><?xml version="1.0" encoding="utf-8"?>
<ds:datastoreItem xmlns:ds="http://schemas.openxmlformats.org/officeDocument/2006/customXml" ds:itemID="{7CA5D9E2-4116-4860-AD86-200E47487D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Daily ER No of Patients</vt:lpstr>
      <vt:lpstr>Avg Wait Time Daily Trend</vt:lpstr>
      <vt:lpstr>Satisfaction Score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2026-06-29T06:15:54Z</dcterms:created>
  <dcterms:modified xsi:type="dcterms:W3CDTF">2026-07-01T05:26:19Z</dcterms:modified>
</cp:coreProperties>
</file>