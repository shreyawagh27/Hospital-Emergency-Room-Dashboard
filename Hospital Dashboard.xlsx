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930" firstSheet="1" activeTab="4"/>
  </bookViews>
  <sheets>
    <sheet name="Pivot Report" sheetId="9" r:id="rId1"/>
    <sheet name="Daily ER No of Patients" sheetId="13" r:id="rId2"/>
    <sheet name="Avg Wait Time Daily Trend" sheetId="12" r:id="rId3"/>
    <sheet name="Satisfaction Score" sheetId="14" r:id="rId4"/>
    <sheet name="DashBoard" sheetId="16" r:id="rId5"/>
    <sheet name="Sheet1" sheetId="17" r:id="rId6"/>
  </sheets>
  <definedNames>
    <definedName name="Slicer_Date__Month">#N/A</definedName>
    <definedName name="Slicer_Date__Year">#N/A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6e2b1d42-3341-4ef9-8374-b1f59275c543" name="Calendar_Table" connection="Query - Calendar_Table"/>
          <x15:modelTable id="Hospital Emergency Room Data_33ce680d-4002-45a7-8bc1-c9cd0f087150"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H49" i="9" l="1"/>
  <c r="AH50" i="9"/>
  <c r="AI50" i="9"/>
  <c r="AI49" i="9"/>
  <c r="AG50" i="9"/>
  <c r="AG49" i="9"/>
  <c r="AG20" i="9" l="1"/>
  <c r="AG19" i="9"/>
  <c r="AI20" i="9"/>
  <c r="AI19" i="9"/>
  <c r="AH20" i="9"/>
  <c r="AH19" i="9"/>
</calcChain>
</file>

<file path=xl/connections.xml><?xml version="1.0" encoding="utf-8"?>
<connections xmlns="http://schemas.openxmlformats.org/spreadsheetml/2006/main">
  <connection id="1" name="Query - Calendar_Table" description="Connection to the 'Calendar_Table' query in the workbook." type="100" refreshedVersion="6" minRefreshableVersion="5" saveData="1">
    <extLst>
      <ext xmlns:x15="http://schemas.microsoft.com/office/spreadsheetml/2010/11/main" uri="{DE250136-89BD-433C-8126-D09CA5730AF9}">
        <x15:connection id="039099c2-7b7a-4ce3-ad07-50d14a7970f4"/>
      </ext>
    </extLst>
  </connection>
  <connection id="2" name="Query - Hospital Emergency Room Data" description="Connection to the 'Hospital Emergency Room Data' query in the workbook." type="100" refreshedVersion="6" minRefreshableVersion="5" saveData="1">
    <extLst>
      <ext xmlns:x15="http://schemas.microsoft.com/office/spreadsheetml/2010/11/main" uri="{DE250136-89BD-433C-8126-D09CA5730AF9}">
        <x15:connection id="127b16ae-18a5-473d-881a-4f39445d5bb0"/>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<sst xmlns="http://schemas.openxmlformats.org/spreadsheetml/2006/main" count="190" uniqueCount="76">
  <si>
    <t>Row Labels</t>
  </si>
  <si>
    <t>Grand Total</t>
  </si>
  <si>
    <t>Distinct Count of Patient Id</t>
  </si>
  <si>
    <t>no of patient</t>
  </si>
  <si>
    <t>Average of Patient Waittime</t>
  </si>
  <si>
    <t>Average of Patient Satisfaction Score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</si>
  <si>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</si>
  <si>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</si>
  <si>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</si>
  <si>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</si>
  <si>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</si>
  <si>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</si>
  <si>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</si>
  <si>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</si>
  <si>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</si>
  <si>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</si>
  <si>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</si>
  <si>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</si>
  <si>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</si>
  <si>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</si>
  <si>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</si>
  <si>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</si>
  <si>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</si>
  <si>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</si>
  <si>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</si>
  <si>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</si>
  <si>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</si>
  <si>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</si>
  <si>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</si>
  <si>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</si>
  <si>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</si>
  <si>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</si>
  <si>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</si>
  <si>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</si>
  <si>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</si>
  <si>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</si>
  <si>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</si>
  <si>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avg wait time</t>
  </si>
  <si>
    <t>Delay</t>
  </si>
  <si>
    <t>On Time</t>
  </si>
  <si>
    <t>Admitted</t>
  </si>
  <si>
    <t>Not Admitted</t>
  </si>
  <si>
    <t>Count of Patient Admission Flag</t>
  </si>
  <si>
    <t>Count of Patient Admission Flag2</t>
  </si>
  <si>
    <t>No. of Patient</t>
  </si>
  <si>
    <t>% Status</t>
  </si>
  <si>
    <t>Admission Status</t>
  </si>
  <si>
    <t>0-09</t>
  </si>
  <si>
    <t>10-19</t>
  </si>
  <si>
    <t>20-29</t>
  </si>
  <si>
    <t>30-39</t>
  </si>
  <si>
    <t>40-49</t>
  </si>
  <si>
    <t>50-59</t>
  </si>
  <si>
    <t>60-69</t>
  </si>
  <si>
    <t>70-79</t>
  </si>
  <si>
    <t>Count of Age Group</t>
  </si>
  <si>
    <t>Count of Patient Id</t>
  </si>
  <si>
    <t>Patient Attend Stauts</t>
  </si>
  <si>
    <t>Female</t>
  </si>
  <si>
    <t>Male</t>
  </si>
  <si>
    <t>Count of Patient Gender</t>
  </si>
  <si>
    <t>Count of Patient Attend Status</t>
  </si>
  <si>
    <t>None</t>
  </si>
  <si>
    <t>General Practice</t>
  </si>
  <si>
    <t>Orthopedics</t>
  </si>
  <si>
    <t>Physiotherapy</t>
  </si>
  <si>
    <t>Cardiology</t>
  </si>
  <si>
    <t>Renal</t>
  </si>
  <si>
    <t>Gastroenterology</t>
  </si>
  <si>
    <t>Neurology</t>
  </si>
  <si>
    <t>gender wise analysis</t>
  </si>
  <si>
    <t>Count of Department Referral</t>
  </si>
  <si>
    <t>2024</t>
  </si>
  <si>
    <t>No. of Patients</t>
  </si>
  <si>
    <t>% of Total</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</si>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</sst>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0"/>
      <name val="Calibri"/>
      <family val="2"/>
      <scheme val="minor"/>
    </font>
    <font>
      <sz val="12"/>
      <color theme="1"/>
      <name val="Calibri"/>
      <family val="2"/>
      <scheme val="minor"/>
    </font>
    <font>
      <sz val="10"/>
      <color theme="1"/>
      <name val="Calibri"/>
      <family val="2"/>
      <scheme val="minor"/>
    </font>
    <font>
      <sz val="11"/>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Fill="1"/>
    <xf numFmtId="0" fontId="2" fillId="0" borderId="0" xfId="0" applyFont="1" applyFill="1"/>
    <xf numFmtId="10" fontId="0" fillId="0" borderId="0" xfId="0" applyNumberFormat="1"/>
    <xf numFmtId="0" fontId="0" fillId="3" borderId="0" xfId="0" applyFill="1" applyAlignment="1">
      <alignment horizontal="center"/>
    </xf>
    <xf numFmtId="0" fontId="3" fillId="3" borderId="0" xfId="0" applyFont="1" applyFill="1" applyAlignment="1">
      <alignment horizontal="center"/>
    </xf>
    <xf numFmtId="10" fontId="3" fillId="3" borderId="0" xfId="0" applyNumberFormat="1" applyFont="1" applyFill="1" applyAlignment="1">
      <alignment horizontal="center"/>
    </xf>
    <xf numFmtId="0" fontId="1" fillId="4" borderId="0" xfId="0" applyFont="1" applyFill="1" applyAlignment="1">
      <alignment horizontal="center" vertical="center"/>
    </xf>
    <xf numFmtId="0" fontId="0" fillId="4" borderId="0" xfId="0" applyFill="1"/>
    <xf numFmtId="0" fontId="0" fillId="0" borderId="0" xfId="0" applyAlignment="1">
      <alignment horizontal="center"/>
    </xf>
    <xf numFmtId="1" fontId="0" fillId="0" borderId="0" xfId="0" applyNumberFormat="1"/>
    <xf numFmtId="0" fontId="3" fillId="0" borderId="1" xfId="0" applyFont="1" applyFill="1" applyBorder="1" applyAlignment="1">
      <alignment horizontal="center" vertical="center"/>
    </xf>
    <xf numFmtId="1" fontId="3" fillId="0" borderId="1" xfId="0" applyNumberFormat="1" applyFont="1" applyFill="1" applyBorder="1" applyAlignment="1">
      <alignment horizontal="center" vertical="center"/>
    </xf>
    <xf numFmtId="9" fontId="3" fillId="0" borderId="1" xfId="1" applyFont="1" applyFill="1" applyBorder="1" applyAlignment="1">
      <alignment horizontal="center" vertical="center"/>
    </xf>
    <xf numFmtId="0" fontId="5" fillId="5" borderId="1" xfId="0" applyFont="1" applyFill="1" applyBorder="1" applyAlignment="1">
      <alignment horizontal="center" vertical="center"/>
    </xf>
  </cellXfs>
  <cellStyles count="2">
    <cellStyle name="Normal" xfId="0" builtinId="0"/>
    <cellStyle name="Percent" xfId="1" builtinId="5"/>
  </cellStyles>
  <dxfs count="45">
    <dxf>
      <numFmt numFmtId="14" formatCode="0.00%"/>
    </dxf>
    <dxf>
      <numFmt numFmtId="1" formatCode="0"/>
    </dxf>
    <dxf>
      <numFmt numFmtId="169" formatCode="0.0"/>
    </dxf>
    <dxf>
      <numFmt numFmtId="1" formatCode="0"/>
    </dxf>
    <dxf>
      <numFmt numFmtId="169" formatCode="0.0"/>
    </dxf>
    <dxf>
      <numFmt numFmtId="2" formatCode="0.00"/>
    </dxf>
    <dxf>
      <numFmt numFmtId="168" formatCode="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9" formatCode="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9" formatCode="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alignment horizontal="center" readingOrder="0"/>
    </dxf>
    <dxf>
      <alignment horizontal="center" readingOrder="0"/>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tableStyleElement type="wholeTable" dxfId="44"/>
      <tableStyleElement type="headerRow" dxfId="4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0"/>
  </c:pivotSource>
  <c:chart>
    <c:autoTitleDeleted val="1"/>
    <c:pivotFmts>
      <c:pivotFmt>
        <c:idx val="0"/>
        <c:spPr>
          <a:solidFill>
            <a:schemeClr val="accent1"/>
          </a:solidFill>
          <a:ln w="25400">
            <a:noFill/>
          </a:ln>
          <a:effectLst/>
        </c:spPr>
        <c:marker>
          <c:symbol val="none"/>
        </c:marker>
      </c:pivotFmt>
    </c:pivotFmts>
    <c:plotArea>
      <c:layout>
        <c:manualLayout>
          <c:layoutTarget val="inner"/>
          <c:xMode val="edge"/>
          <c:yMode val="edge"/>
          <c:x val="2.3323615160349854E-2"/>
          <c:y val="0.10526307857960397"/>
          <c:w val="0.91448007774538387"/>
          <c:h val="0.5502561502044605"/>
        </c:manualLayout>
      </c:layout>
      <c:areaChart>
        <c:grouping val="standard"/>
        <c:varyColors val="0"/>
        <c:ser>
          <c:idx val="0"/>
          <c:order val="0"/>
          <c:tx>
            <c:strRef>
              <c:f>'Pivot Report'!$D$3</c:f>
              <c:strCache>
                <c:ptCount val="1"/>
                <c:pt idx="0">
                  <c:v>Total</c:v>
                </c:pt>
              </c:strCache>
            </c:strRef>
          </c:tx>
          <c:spPr>
            <a:solidFill>
              <a:schemeClr val="accent1"/>
            </a:solidFill>
            <a:ln w="25400">
              <a:noFill/>
            </a:ln>
            <a:effectLst/>
          </c:spPr>
          <c:cat>
            <c:strRef>
              <c:f>'Pivot 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ED0-453D-91C3-CA4565C2134D}"/>
            </c:ext>
          </c:extLst>
        </c:ser>
        <c:dLbls>
          <c:showLegendKey val="0"/>
          <c:showVal val="0"/>
          <c:showCatName val="0"/>
          <c:showSerName val="0"/>
          <c:showPercent val="0"/>
          <c:showBubbleSize val="0"/>
        </c:dLbls>
        <c:axId val="1812017248"/>
        <c:axId val="1812031392"/>
      </c:areaChart>
      <c:catAx>
        <c:axId val="181201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31392"/>
        <c:crosses val="autoZero"/>
        <c:auto val="1"/>
        <c:lblAlgn val="ctr"/>
        <c:lblOffset val="100"/>
        <c:noMultiLvlLbl val="0"/>
      </c:catAx>
      <c:valAx>
        <c:axId val="1812031392"/>
        <c:scaling>
          <c:orientation val="minMax"/>
        </c:scaling>
        <c:delete val="1"/>
        <c:axPos val="l"/>
        <c:numFmt formatCode="General" sourceLinked="1"/>
        <c:majorTickMark val="none"/>
        <c:minorTickMark val="none"/>
        <c:tickLblPos val="nextTo"/>
        <c:crossAx val="181201724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c:name>
    <c:fmtId val="14"/>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'Pivot Report'!$O$3</c:f>
              <c:strCache>
                <c:ptCount val="1"/>
                <c:pt idx="0">
                  <c:v>Total</c:v>
                </c:pt>
              </c:strCache>
            </c:strRef>
          </c:tx>
          <c:spPr>
            <a:solidFill>
              <a:schemeClr val="accent1"/>
            </a:solidFill>
            <a:ln w="25400">
              <a:noFill/>
            </a:ln>
            <a:effectLst/>
          </c:spPr>
          <c:cat>
            <c:strRef>
              <c:f>'Pivot Report'!$N$4:$N$35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Report'!$O$4:$O$35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0CB5-4E1B-B90F-C7AE9EA9927C}"/>
            </c:ext>
          </c:extLst>
        </c:ser>
        <c:dLbls>
          <c:showLegendKey val="0"/>
          <c:showVal val="0"/>
          <c:showCatName val="0"/>
          <c:showSerName val="0"/>
          <c:showPercent val="0"/>
          <c:showBubbleSize val="0"/>
        </c:dLbls>
        <c:axId val="1194820815"/>
        <c:axId val="1194825807"/>
      </c:areaChart>
      <c:catAx>
        <c:axId val="1194820815"/>
        <c:scaling>
          <c:orientation val="minMax"/>
        </c:scaling>
        <c:delete val="1"/>
        <c:axPos val="b"/>
        <c:numFmt formatCode="General" sourceLinked="1"/>
        <c:majorTickMark val="out"/>
        <c:minorTickMark val="none"/>
        <c:tickLblPos val="nextTo"/>
        <c:crossAx val="1194825807"/>
        <c:crosses val="autoZero"/>
        <c:auto val="1"/>
        <c:lblAlgn val="ctr"/>
        <c:lblOffset val="100"/>
        <c:noMultiLvlLbl val="0"/>
      </c:catAx>
      <c:valAx>
        <c:axId val="1194825807"/>
        <c:scaling>
          <c:orientation val="minMax"/>
        </c:scaling>
        <c:delete val="1"/>
        <c:axPos val="l"/>
        <c:numFmt formatCode="0.00" sourceLinked="1"/>
        <c:majorTickMark val="none"/>
        <c:minorTickMark val="none"/>
        <c:tickLblPos val="nextTo"/>
        <c:crossAx val="1194820815"/>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20"/>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'Pivot Report'!$S$3</c:f>
              <c:strCache>
                <c:ptCount val="1"/>
                <c:pt idx="0">
                  <c:v>Total</c:v>
                </c:pt>
              </c:strCache>
            </c:strRef>
          </c:tx>
          <c:spPr>
            <a:solidFill>
              <a:schemeClr val="accent1"/>
            </a:solidFill>
            <a:ln w="25400">
              <a:noFill/>
            </a:ln>
            <a:effectLst/>
          </c:spPr>
          <c:cat>
            <c:strRef>
              <c:f>'Pivot Report'!$R$4:$R$35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Report'!$S$4:$S$35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0A9B-4083-BD9D-9CF6E44FAA7B}"/>
            </c:ext>
          </c:extLst>
        </c:ser>
        <c:dLbls>
          <c:showLegendKey val="0"/>
          <c:showVal val="0"/>
          <c:showCatName val="0"/>
          <c:showSerName val="0"/>
          <c:showPercent val="0"/>
          <c:showBubbleSize val="0"/>
        </c:dLbls>
        <c:axId val="1106320847"/>
        <c:axId val="1106327503"/>
      </c:areaChart>
      <c:catAx>
        <c:axId val="110632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27503"/>
        <c:crosses val="autoZero"/>
        <c:auto val="1"/>
        <c:lblAlgn val="ctr"/>
        <c:lblOffset val="100"/>
        <c:noMultiLvlLbl val="0"/>
      </c:catAx>
      <c:valAx>
        <c:axId val="1106327503"/>
        <c:scaling>
          <c:orientation val="minMax"/>
        </c:scaling>
        <c:delete val="1"/>
        <c:axPos val="l"/>
        <c:numFmt formatCode="0.00" sourceLinked="1"/>
        <c:majorTickMark val="none"/>
        <c:minorTickMark val="none"/>
        <c:tickLblPos val="nextTo"/>
        <c:crossAx val="110632084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Report!PivotTable3</c:name>
    <c:fmtId val="0"/>
  </c:pivotSource>
  <c:chart>
    <c:autoTitleDeleted val="0"/>
    <c:pivotFmts>
      <c:pivotFmt>
        <c:idx val="0"/>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pivotFmt>
      <c:pivotFmt>
        <c:idx val="4"/>
        <c:spPr>
          <a:solidFill>
            <a:schemeClr val="accent5">
              <a:lumMod val="50000"/>
            </a:schemeClr>
          </a:solidFill>
          <a:ln>
            <a:noFill/>
          </a:ln>
          <a:effectLst/>
        </c:spPr>
        <c:dLbl>
          <c:idx val="0"/>
          <c:tx>
            <c:rich>
              <a:bodyPr wrap="square" lIns="38100" tIns="19050" rIns="38100" bIns="19050" anchor="ctr">
                <a:spAutoFit/>
              </a:bodyPr>
              <a:lstStyle/>
              <a:p>
                <a:pPr>
                  <a:defRPr/>
                </a:pPr>
                <a:fld id="{4B332192-6E72-41DC-9746-209E9E002022}" type="CELLRANGE">
                  <a:rPr lang="en-US"/>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5">
              <a:lumMod val="50000"/>
            </a:schemeClr>
          </a:solidFill>
          <a:ln>
            <a:noFill/>
          </a:ln>
          <a:effectLst/>
        </c:spPr>
        <c:dLbl>
          <c:idx val="0"/>
          <c:tx>
            <c:rich>
              <a:bodyPr wrap="square" lIns="38100" tIns="19050" rIns="38100" bIns="19050" anchor="ctr">
                <a:spAutoFit/>
              </a:bodyPr>
              <a:lstStyle/>
              <a:p>
                <a:pPr>
                  <a:defRPr/>
                </a:pPr>
                <a:fld id="{06D16A2D-EFE6-4762-980E-E4FE588FA981}" type="CELLRANGE">
                  <a:rPr lang="en-US"/>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26724628678955736"/>
          <c:y val="5.0925925925925923E-2"/>
          <c:w val="0.57119720830350751"/>
          <c:h val="0.5926389646838699"/>
        </c:manualLayout>
      </c:layout>
      <c:barChart>
        <c:barDir val="bar"/>
        <c:grouping val="clustered"/>
        <c:varyColors val="0"/>
        <c:ser>
          <c:idx val="0"/>
          <c:order val="0"/>
          <c:tx>
            <c:strRef>
              <c:f>'Pivot Report'!$AI$8:$AI$9</c:f>
              <c:strCache>
                <c:ptCount val="1"/>
                <c:pt idx="0">
                  <c:v>Count of Patient Admission Flag</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3-0118-40D6-9800-A9843E4553B6}"/>
              </c:ext>
            </c:extLst>
          </c:dPt>
          <c:dPt>
            <c:idx val="1"/>
            <c:invertIfNegative val="0"/>
            <c:bubble3D val="0"/>
            <c:extLst>
              <c:ext xmlns:c16="http://schemas.microsoft.com/office/drawing/2014/chart" uri="{C3380CC4-5D6E-409C-BE32-E72D297353CC}">
                <c16:uniqueId val="{00000002-0118-40D6-9800-A9843E4553B6}"/>
              </c:ext>
            </c:extLst>
          </c:dPt>
          <c:dLbls>
            <c:dLbl>
              <c:idx val="0"/>
              <c:tx>
                <c:rich>
                  <a:bodyPr/>
                  <a:lstStyle/>
                  <a:p>
                    <a:fld id="{06D16A2D-EFE6-4762-980E-E4FE588FA981}"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118-40D6-9800-A9843E4553B6}"/>
                </c:ext>
              </c:extLst>
            </c:dLbl>
            <c:dLbl>
              <c:idx val="1"/>
              <c:tx>
                <c:rich>
                  <a:bodyPr/>
                  <a:lstStyle/>
                  <a:p>
                    <a:fld id="{4B332192-6E72-41DC-9746-209E9E00202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118-40D6-9800-A9843E4553B6}"/>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Report'!$AI$8:$AI$9</c:f>
              <c:strCache>
                <c:ptCount val="2"/>
                <c:pt idx="0">
                  <c:v>Admitted</c:v>
                </c:pt>
                <c:pt idx="1">
                  <c:v>Not Admitted</c:v>
                </c:pt>
              </c:strCache>
            </c:strRef>
          </c:cat>
          <c:val>
            <c:numRef>
              <c:f>'Pivot Report'!$AI$8:$AI$9</c:f>
              <c:numCache>
                <c:formatCode>General</c:formatCode>
                <c:ptCount val="2"/>
                <c:pt idx="0">
                  <c:v>2455</c:v>
                </c:pt>
                <c:pt idx="1">
                  <c:v>2423</c:v>
                </c:pt>
              </c:numCache>
            </c:numRef>
          </c:val>
          <c:extLst>
            <c:ext xmlns:c15="http://schemas.microsoft.com/office/drawing/2012/chart" uri="{02D57815-91ED-43cb-92C2-25804820EDAC}">
              <c15:datalabelsRange>
                <c15:f>'Pivot Report'!$AI$8:$AI$9</c15:f>
                <c15:dlblRangeCache>
                  <c:ptCount val="2"/>
                  <c:pt idx="0">
                    <c:v>50.33%</c:v>
                  </c:pt>
                  <c:pt idx="1">
                    <c:v>49.67%</c:v>
                  </c:pt>
                </c15:dlblRangeCache>
              </c15:datalabelsRange>
            </c:ext>
            <c:ext xmlns:c16="http://schemas.microsoft.com/office/drawing/2014/chart" uri="{C3380CC4-5D6E-409C-BE32-E72D297353CC}">
              <c16:uniqueId val="{00000000-0118-40D6-9800-A9843E4553B6}"/>
            </c:ext>
          </c:extLst>
        </c:ser>
        <c:ser>
          <c:idx val="1"/>
          <c:order val="1"/>
          <c:tx>
            <c:strRef>
              <c:f>'Pivot Report'!$AI$8:$AI$9</c:f>
              <c:strCache>
                <c:ptCount val="1"/>
                <c:pt idx="0">
                  <c:v>Count of Patient Admission Flag2</c:v>
                </c:pt>
              </c:strCache>
            </c:strRef>
          </c:tx>
          <c:spPr>
            <a:solidFill>
              <a:schemeClr val="accent2"/>
            </a:solidFill>
            <a:ln>
              <a:noFill/>
            </a:ln>
            <a:effectLst/>
          </c:spPr>
          <c:invertIfNegative val="0"/>
          <c:cat>
            <c:strRef>
              <c:f>'Pivot Report'!$AI$8:$AI$9</c:f>
              <c:strCache>
                <c:ptCount val="2"/>
                <c:pt idx="0">
                  <c:v>Admitted</c:v>
                </c:pt>
                <c:pt idx="1">
                  <c:v>Not Admitted</c:v>
                </c:pt>
              </c:strCache>
            </c:strRef>
          </c:cat>
          <c:val>
            <c:numRef>
              <c:f>'Pivot Report'!$AI$8:$AI$9</c:f>
              <c:numCache>
                <c:formatCode>0.00%</c:formatCode>
                <c:ptCount val="2"/>
                <c:pt idx="0">
                  <c:v>0.50328003280032796</c:v>
                </c:pt>
                <c:pt idx="1">
                  <c:v>0.49671996719967199</c:v>
                </c:pt>
              </c:numCache>
            </c:numRef>
          </c:val>
          <c:extLst>
            <c:ext xmlns:c16="http://schemas.microsoft.com/office/drawing/2014/chart" uri="{C3380CC4-5D6E-409C-BE32-E72D297353CC}">
              <c16:uniqueId val="{00000001-0118-40D6-9800-A9843E4553B6}"/>
            </c:ext>
          </c:extLst>
        </c:ser>
        <c:dLbls>
          <c:showLegendKey val="0"/>
          <c:showVal val="0"/>
          <c:showCatName val="0"/>
          <c:showSerName val="0"/>
          <c:showPercent val="0"/>
          <c:showBubbleSize val="0"/>
        </c:dLbls>
        <c:gapWidth val="0"/>
        <c:overlap val="54"/>
        <c:axId val="1403339391"/>
        <c:axId val="1403344799"/>
      </c:barChart>
      <c:catAx>
        <c:axId val="1403339391"/>
        <c:scaling>
          <c:orientation val="minMax"/>
        </c:scaling>
        <c:delete val="1"/>
        <c:axPos val="l"/>
        <c:numFmt formatCode="General" sourceLinked="1"/>
        <c:majorTickMark val="none"/>
        <c:minorTickMark val="none"/>
        <c:tickLblPos val="nextTo"/>
        <c:crossAx val="1403344799"/>
        <c:crosses val="autoZero"/>
        <c:auto val="1"/>
        <c:lblAlgn val="ctr"/>
        <c:lblOffset val="100"/>
        <c:noMultiLvlLbl val="0"/>
      </c:catAx>
      <c:valAx>
        <c:axId val="1403344799"/>
        <c:scaling>
          <c:orientation val="minMax"/>
        </c:scaling>
        <c:delete val="1"/>
        <c:axPos val="b"/>
        <c:numFmt formatCode="General" sourceLinked="1"/>
        <c:majorTickMark val="none"/>
        <c:minorTickMark val="none"/>
        <c:tickLblPos val="nextTo"/>
        <c:crossAx val="1403339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0"/>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Report'!$AR$6</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Report'!$AQ$7:$AQ$15</c:f>
              <c:strCache>
                <c:ptCount val="8"/>
                <c:pt idx="0">
                  <c:v>0-09</c:v>
                </c:pt>
                <c:pt idx="1">
                  <c:v>10-19</c:v>
                </c:pt>
                <c:pt idx="2">
                  <c:v>20-29</c:v>
                </c:pt>
                <c:pt idx="3">
                  <c:v>30-39</c:v>
                </c:pt>
                <c:pt idx="4">
                  <c:v>40-49</c:v>
                </c:pt>
                <c:pt idx="5">
                  <c:v>50-59</c:v>
                </c:pt>
                <c:pt idx="6">
                  <c:v>60-69</c:v>
                </c:pt>
                <c:pt idx="7">
                  <c:v>70-79</c:v>
                </c:pt>
              </c:strCache>
            </c:strRef>
          </c:cat>
          <c:val>
            <c:numRef>
              <c:f>'Pivot Report'!$AR$7:$AR$15</c:f>
              <c:numCache>
                <c:formatCode>General</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0-E3B1-47C7-BF4B-635A8D2909BA}"/>
            </c:ext>
          </c:extLst>
        </c:ser>
        <c:dLbls>
          <c:dLblPos val="outEnd"/>
          <c:showLegendKey val="0"/>
          <c:showVal val="1"/>
          <c:showCatName val="0"/>
          <c:showSerName val="0"/>
          <c:showPercent val="0"/>
          <c:showBubbleSize val="0"/>
        </c:dLbls>
        <c:gapWidth val="219"/>
        <c:overlap val="-27"/>
        <c:axId val="1194800847"/>
        <c:axId val="1194818735"/>
      </c:barChart>
      <c:catAx>
        <c:axId val="11948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18735"/>
        <c:crosses val="autoZero"/>
        <c:auto val="1"/>
        <c:lblAlgn val="ctr"/>
        <c:lblOffset val="100"/>
        <c:noMultiLvlLbl val="0"/>
      </c:catAx>
      <c:valAx>
        <c:axId val="1194818735"/>
        <c:scaling>
          <c:orientation val="minMax"/>
        </c:scaling>
        <c:delete val="1"/>
        <c:axPos val="l"/>
        <c:numFmt formatCode="General" sourceLinked="1"/>
        <c:majorTickMark val="none"/>
        <c:minorTickMark val="none"/>
        <c:tickLblPos val="nextTo"/>
        <c:crossAx val="1194800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0160717410323712"/>
          <c:y val="0.11365009329124469"/>
          <c:w val="0.54722222222222228"/>
          <c:h val="0.81481481481481477"/>
        </c:manualLayout>
      </c:layout>
      <c:pieChart>
        <c:varyColors val="1"/>
        <c:ser>
          <c:idx val="0"/>
          <c:order val="0"/>
          <c:tx>
            <c:strRef>
              <c:f>'Pivot Report'!$BH$11</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4-90C0-44DF-B1B0-C70773E12A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F9-486E-B6A0-3AB6DEF4D8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Report'!$BG$12:$BG$14</c:f>
              <c:strCache>
                <c:ptCount val="2"/>
                <c:pt idx="0">
                  <c:v>Delay</c:v>
                </c:pt>
                <c:pt idx="1">
                  <c:v>On Time</c:v>
                </c:pt>
              </c:strCache>
            </c:strRef>
          </c:cat>
          <c:val>
            <c:numRef>
              <c:f>'Pivot Report'!$BH$12:$BH$14</c:f>
              <c:numCache>
                <c:formatCode>General</c:formatCode>
                <c:ptCount val="2"/>
                <c:pt idx="0">
                  <c:v>2951</c:v>
                </c:pt>
                <c:pt idx="1">
                  <c:v>1927</c:v>
                </c:pt>
              </c:numCache>
            </c:numRef>
          </c:val>
          <c:extLst>
            <c:ext xmlns:c16="http://schemas.microsoft.com/office/drawing/2014/chart" uri="{C3380CC4-5D6E-409C-BE32-E72D297353CC}">
              <c16:uniqueId val="{00000000-90C0-44DF-B1B0-C70773E12A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2.0189851268591418E-2"/>
          <c:y val="3.5014140371052722E-2"/>
          <c:w val="0.26036570428696415"/>
          <c:h val="0.1205459004658694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Report!PivotTable14</c:name>
    <c:fmtId val="0"/>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Report'!$AU$23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Report'!$AT$24:$AT$32</c:f>
              <c:strCache>
                <c:ptCount val="8"/>
                <c:pt idx="0">
                  <c:v>0-09</c:v>
                </c:pt>
                <c:pt idx="1">
                  <c:v>10-19</c:v>
                </c:pt>
                <c:pt idx="2">
                  <c:v>20-29</c:v>
                </c:pt>
                <c:pt idx="3">
                  <c:v>30-39</c:v>
                </c:pt>
                <c:pt idx="4">
                  <c:v>40-49</c:v>
                </c:pt>
                <c:pt idx="5">
                  <c:v>50-59</c:v>
                </c:pt>
                <c:pt idx="6">
                  <c:v>60-69</c:v>
                </c:pt>
                <c:pt idx="7">
                  <c:v>70-79</c:v>
                </c:pt>
              </c:strCache>
            </c:strRef>
          </c:cat>
          <c:val>
            <c:numRef>
              <c:f>'Pivot Report'!$AU$24:$AU$32</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7782-4CB9-BF0E-068A7BA7AB54}"/>
            </c:ext>
          </c:extLst>
        </c:ser>
        <c:dLbls>
          <c:dLblPos val="outEnd"/>
          <c:showLegendKey val="0"/>
          <c:showVal val="1"/>
          <c:showCatName val="0"/>
          <c:showSerName val="0"/>
          <c:showPercent val="0"/>
          <c:showBubbleSize val="0"/>
        </c:dLbls>
        <c:gapWidth val="219"/>
        <c:overlap val="-27"/>
        <c:axId val="1403355199"/>
        <c:axId val="1403352703"/>
      </c:barChart>
      <c:catAx>
        <c:axId val="140335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52703"/>
        <c:crosses val="autoZero"/>
        <c:auto val="1"/>
        <c:lblAlgn val="ctr"/>
        <c:lblOffset val="100"/>
        <c:noMultiLvlLbl val="0"/>
      </c:catAx>
      <c:valAx>
        <c:axId val="1403352703"/>
        <c:scaling>
          <c:orientation val="minMax"/>
        </c:scaling>
        <c:delete val="1"/>
        <c:axPos val="l"/>
        <c:numFmt formatCode="General" sourceLinked="1"/>
        <c:majorTickMark val="none"/>
        <c:minorTickMark val="none"/>
        <c:tickLblPos val="nextTo"/>
        <c:crossAx val="14033551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3"/>
  </c:pivotSource>
  <c:chart>
    <c:autoTitleDeleted val="1"/>
    <c:pivotFmts>
      <c:pivotFmt>
        <c:idx val="0"/>
      </c:pivotFmt>
      <c:pivotFmt>
        <c:idx val="1"/>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Report'!$BP$25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515-4539-8AFE-BA3E89B60FF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515-4539-8AFE-BA3E89B60FF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'Pivot Report'!$BO$26:$BO$28</c:f>
              <c:strCache>
                <c:ptCount val="2"/>
                <c:pt idx="0">
                  <c:v>Delay</c:v>
                </c:pt>
                <c:pt idx="1">
                  <c:v>On Time</c:v>
                </c:pt>
              </c:strCache>
            </c:strRef>
          </c:cat>
          <c:val>
            <c:numRef>
              <c:f>'Pivot Report'!$BP$26:$BP$28</c:f>
              <c:numCache>
                <c:formatCode>0.00%</c:formatCode>
                <c:ptCount val="2"/>
                <c:pt idx="0">
                  <c:v>0.61598440545808963</c:v>
                </c:pt>
                <c:pt idx="1">
                  <c:v>0.38401559454191031</c:v>
                </c:pt>
              </c:numCache>
            </c:numRef>
          </c:val>
          <c:extLst>
            <c:ext xmlns:c16="http://schemas.microsoft.com/office/drawing/2014/chart" uri="{C3380CC4-5D6E-409C-BE32-E72D297353CC}">
              <c16:uniqueId val="{00000004-51FC-4F12-A236-2232A196AFB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0"/>
  </c:pivotSource>
  <c:chart>
    <c:autoTitleDeleted val="1"/>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Report'!$BS$19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31-4672-B6A9-6435395F25D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31-4672-B6A9-6435395F25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Report'!$BR$20:$BR$22</c:f>
              <c:strCache>
                <c:ptCount val="2"/>
                <c:pt idx="0">
                  <c:v>Female</c:v>
                </c:pt>
                <c:pt idx="1">
                  <c:v>Male</c:v>
                </c:pt>
              </c:strCache>
            </c:strRef>
          </c:cat>
          <c:val>
            <c:numRef>
              <c:f>'Pivot Report'!$BS$20:$BS$22</c:f>
              <c:numCache>
                <c:formatCode>General</c:formatCode>
                <c:ptCount val="2"/>
                <c:pt idx="0">
                  <c:v>241</c:v>
                </c:pt>
                <c:pt idx="1">
                  <c:v>272</c:v>
                </c:pt>
              </c:numCache>
            </c:numRef>
          </c:val>
          <c:extLst>
            <c:ext xmlns:c16="http://schemas.microsoft.com/office/drawing/2014/chart" uri="{C3380CC4-5D6E-409C-BE32-E72D297353CC}">
              <c16:uniqueId val="{00000004-9BF1-475C-A097-E3BF40124B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Report'!$CB$19</c:f>
              <c:strCache>
                <c:ptCount val="1"/>
                <c:pt idx="0">
                  <c:v>Total</c:v>
                </c:pt>
              </c:strCache>
            </c:strRef>
          </c:tx>
          <c:spPr>
            <a:solidFill>
              <a:schemeClr val="accent1"/>
            </a:solidFill>
            <a:ln>
              <a:noFill/>
            </a:ln>
            <a:effectLst/>
          </c:spPr>
          <c:invertIfNegative val="0"/>
          <c:cat>
            <c:strRef>
              <c:f>'Pivot Report'!$CA$20:$CA$28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Report'!$CB$20:$CB$28</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7CE8-47E4-982D-2E17F6E8CE18}"/>
            </c:ext>
          </c:extLst>
        </c:ser>
        <c:dLbls>
          <c:showLegendKey val="0"/>
          <c:showVal val="0"/>
          <c:showCatName val="0"/>
          <c:showSerName val="0"/>
          <c:showPercent val="0"/>
          <c:showBubbleSize val="0"/>
        </c:dLbls>
        <c:gapWidth val="182"/>
        <c:axId val="96065327"/>
        <c:axId val="95701007"/>
      </c:barChart>
      <c:catAx>
        <c:axId val="9606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1007"/>
        <c:crosses val="autoZero"/>
        <c:auto val="1"/>
        <c:lblAlgn val="ctr"/>
        <c:lblOffset val="100"/>
        <c:noMultiLvlLbl val="0"/>
      </c:catAx>
      <c:valAx>
        <c:axId val="9570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5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6"/>
  </c:pivotSource>
  <c:chart>
    <c:autoTitleDeleted val="1"/>
    <c:pivotFmts>
      <c:pivotFmt>
        <c:idx val="0"/>
      </c:pivotFmt>
      <c:pivotFmt>
        <c:idx val="1"/>
      </c:pivotFmt>
      <c:pivotFmt>
        <c:idx val="2"/>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23615160349854E-2"/>
          <c:y val="0.10526307857960397"/>
          <c:w val="0.91448007774538387"/>
          <c:h val="0.5502561502044605"/>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20EF-4AB6-AF41-42F55BFE0E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12017248"/>
        <c:axId val="1812031392"/>
      </c:areaChart>
      <c:catAx>
        <c:axId val="1812017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2031392"/>
        <c:crosses val="autoZero"/>
        <c:auto val="1"/>
        <c:lblAlgn val="ctr"/>
        <c:lblOffset val="100"/>
        <c:noMultiLvlLbl val="0"/>
      </c:catAx>
      <c:valAx>
        <c:axId val="1812031392"/>
        <c:scaling>
          <c:orientation val="minMax"/>
        </c:scaling>
        <c:delete val="1"/>
        <c:axPos val="l"/>
        <c:numFmt formatCode="General" sourceLinked="1"/>
        <c:majorTickMark val="out"/>
        <c:minorTickMark val="none"/>
        <c:tickLblPos val="nextTo"/>
        <c:crossAx val="1812017248"/>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c:name>
    <c:fmtId val="22"/>
  </c:pivotSource>
  <c:chart>
    <c:autoTitleDeleted val="1"/>
    <c:pivotFmts>
      <c:pivotFmt>
        <c:idx val="0"/>
      </c:pivotFmt>
      <c:pivotFmt>
        <c:idx val="1"/>
      </c:pivotFmt>
      <c:pivotFmt>
        <c:idx val="2"/>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36497597486179E-2"/>
          <c:y val="6.0069373298597906E-2"/>
          <c:w val="0.95590459569517161"/>
          <c:h val="0.82731639493018772"/>
        </c:manualLayout>
      </c:layout>
      <c:areaChart>
        <c:grouping val="standard"/>
        <c:varyColors val="0"/>
        <c:ser>
          <c:idx val="0"/>
          <c:order val="0"/>
          <c:tx>
            <c:strRef>
              <c:f>'Pivot Report'!$O$3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Report'!$N$4:$N$35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Report'!$O$4:$O$35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75B4-4731-A4FB-9931E1405F1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820815"/>
        <c:axId val="1194825807"/>
      </c:areaChart>
      <c:catAx>
        <c:axId val="11948208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194825807"/>
        <c:crosses val="autoZero"/>
        <c:auto val="1"/>
        <c:lblAlgn val="ctr"/>
        <c:lblOffset val="100"/>
        <c:noMultiLvlLbl val="0"/>
      </c:catAx>
      <c:valAx>
        <c:axId val="1194825807"/>
        <c:scaling>
          <c:orientation val="minMax"/>
        </c:scaling>
        <c:delete val="1"/>
        <c:axPos val="l"/>
        <c:numFmt formatCode="0.00" sourceLinked="1"/>
        <c:majorTickMark val="out"/>
        <c:minorTickMark val="none"/>
        <c:tickLblPos val="nextTo"/>
        <c:crossAx val="1194820815"/>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30"/>
  </c:pivotSource>
  <c:chart>
    <c:autoTitleDeleted val="1"/>
    <c:pivotFmts>
      <c:pivotFmt>
        <c:idx val="0"/>
      </c:pivotFmt>
      <c:pivotFmt>
        <c:idx val="1"/>
      </c:pivotFmt>
      <c:pivotFmt>
        <c:idx val="2"/>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Report'!$R$4:$R$35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Report'!$S$4:$S$35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F29A-45C1-BBDE-06D9495CB2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06320847"/>
        <c:axId val="1106327503"/>
      </c:areaChart>
      <c:catAx>
        <c:axId val="11063208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06327503"/>
        <c:crosses val="autoZero"/>
        <c:auto val="1"/>
        <c:lblAlgn val="ctr"/>
        <c:lblOffset val="100"/>
        <c:noMultiLvlLbl val="0"/>
      </c:catAx>
      <c:valAx>
        <c:axId val="1106327503"/>
        <c:scaling>
          <c:orientation val="minMax"/>
        </c:scaling>
        <c:delete val="1"/>
        <c:axPos val="l"/>
        <c:numFmt formatCode="0.00" sourceLinked="1"/>
        <c:majorTickMark val="out"/>
        <c:minorTickMark val="none"/>
        <c:tickLblPos val="nextTo"/>
        <c:crossAx val="1106320847"/>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w="25400">
            <a:noFill/>
          </a:ln>
          <a:effectLst/>
        </c:spPr>
        <c:marker>
          <c:symbol val="none"/>
        </c:marker>
      </c:pivotFmt>
    </c:pivotFmts>
    <c:plotArea>
      <c:layout>
        <c:manualLayout>
          <c:layoutTarget val="inner"/>
          <c:xMode val="edge"/>
          <c:yMode val="edge"/>
          <c:x val="1.5860853214243742E-2"/>
          <c:y val="0"/>
          <c:w val="0.95925608179574573"/>
          <c:h val="0.73207349081364825"/>
        </c:manualLayout>
      </c:layout>
      <c:areaChart>
        <c:grouping val="standard"/>
        <c:varyColors val="0"/>
        <c:ser>
          <c:idx val="0"/>
          <c:order val="0"/>
          <c:tx>
            <c:strRef>
              <c:f>'Pivot Report'!$D$3</c:f>
              <c:strCache>
                <c:ptCount val="1"/>
                <c:pt idx="0">
                  <c:v>Total</c:v>
                </c:pt>
              </c:strCache>
            </c:strRef>
          </c:tx>
          <c:spPr>
            <a:solidFill>
              <a:schemeClr val="accent1">
                <a:lumMod val="50000"/>
              </a:schemeClr>
            </a:solidFill>
            <a:ln w="25400">
              <a:noFill/>
            </a:ln>
            <a:effectLst/>
          </c:spPr>
          <c:cat>
            <c:strRef>
              <c:f>'Pivot 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B87D-4A93-A130-311D376683E2}"/>
            </c:ext>
          </c:extLst>
        </c:ser>
        <c:dLbls>
          <c:showLegendKey val="0"/>
          <c:showVal val="0"/>
          <c:showCatName val="0"/>
          <c:showSerName val="0"/>
          <c:showPercent val="0"/>
          <c:showBubbleSize val="0"/>
        </c:dLbls>
        <c:axId val="1812017248"/>
        <c:axId val="1812031392"/>
      </c:areaChart>
      <c:catAx>
        <c:axId val="1812017248"/>
        <c:scaling>
          <c:orientation val="minMax"/>
        </c:scaling>
        <c:delete val="1"/>
        <c:axPos val="b"/>
        <c:numFmt formatCode="General" sourceLinked="1"/>
        <c:majorTickMark val="out"/>
        <c:minorTickMark val="none"/>
        <c:tickLblPos val="nextTo"/>
        <c:crossAx val="1812031392"/>
        <c:crosses val="autoZero"/>
        <c:auto val="1"/>
        <c:lblAlgn val="ctr"/>
        <c:lblOffset val="100"/>
        <c:noMultiLvlLbl val="0"/>
      </c:catAx>
      <c:valAx>
        <c:axId val="1812031392"/>
        <c:scaling>
          <c:orientation val="minMax"/>
        </c:scaling>
        <c:delete val="1"/>
        <c:axPos val="l"/>
        <c:numFmt formatCode="General" sourceLinked="1"/>
        <c:majorTickMark val="none"/>
        <c:minorTickMark val="none"/>
        <c:tickLblPos val="nextTo"/>
        <c:crossAx val="181201724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w="25400">
            <a:noFill/>
          </a:ln>
          <a:effectLst/>
        </c:spPr>
        <c:marker>
          <c:symbol val="none"/>
        </c:marker>
      </c:pivotFmt>
    </c:pivotFmts>
    <c:plotArea>
      <c:layout>
        <c:manualLayout>
          <c:layoutTarget val="inner"/>
          <c:xMode val="edge"/>
          <c:yMode val="edge"/>
          <c:x val="7.9136690647482008E-2"/>
          <c:y val="0.3055562238762552"/>
          <c:w val="0.92086330935251803"/>
          <c:h val="0.38888755224748961"/>
        </c:manualLayout>
      </c:layout>
      <c:areaChart>
        <c:grouping val="standard"/>
        <c:varyColors val="0"/>
        <c:ser>
          <c:idx val="0"/>
          <c:order val="0"/>
          <c:tx>
            <c:strRef>
              <c:f>'Pivot Report'!$O$3</c:f>
              <c:strCache>
                <c:ptCount val="1"/>
                <c:pt idx="0">
                  <c:v>Total</c:v>
                </c:pt>
              </c:strCache>
            </c:strRef>
          </c:tx>
          <c:spPr>
            <a:solidFill>
              <a:schemeClr val="accent1">
                <a:lumMod val="50000"/>
              </a:schemeClr>
            </a:solidFill>
            <a:ln w="25400">
              <a:noFill/>
            </a:ln>
            <a:effectLst/>
          </c:spPr>
          <c:cat>
            <c:strRef>
              <c:f>'Pivot Report'!$N$4:$N$35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Report'!$O$4:$O$35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8199-45BF-B1D8-CA939DD47645}"/>
            </c:ext>
          </c:extLst>
        </c:ser>
        <c:dLbls>
          <c:showLegendKey val="0"/>
          <c:showVal val="0"/>
          <c:showCatName val="0"/>
          <c:showSerName val="0"/>
          <c:showPercent val="0"/>
          <c:showBubbleSize val="0"/>
        </c:dLbls>
        <c:axId val="1194820815"/>
        <c:axId val="1194825807"/>
      </c:areaChart>
      <c:catAx>
        <c:axId val="1194820815"/>
        <c:scaling>
          <c:orientation val="minMax"/>
        </c:scaling>
        <c:delete val="1"/>
        <c:axPos val="b"/>
        <c:numFmt formatCode="General" sourceLinked="1"/>
        <c:majorTickMark val="out"/>
        <c:minorTickMark val="none"/>
        <c:tickLblPos val="nextTo"/>
        <c:crossAx val="1194825807"/>
        <c:crosses val="autoZero"/>
        <c:auto val="1"/>
        <c:lblAlgn val="ctr"/>
        <c:lblOffset val="100"/>
        <c:noMultiLvlLbl val="0"/>
      </c:catAx>
      <c:valAx>
        <c:axId val="1194825807"/>
        <c:scaling>
          <c:orientation val="minMax"/>
        </c:scaling>
        <c:delete val="1"/>
        <c:axPos val="l"/>
        <c:numFmt formatCode="0.00" sourceLinked="1"/>
        <c:majorTickMark val="none"/>
        <c:minorTickMark val="none"/>
        <c:tickLblPos val="nextTo"/>
        <c:crossAx val="1194820815"/>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3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w="25400">
            <a:noFill/>
          </a:ln>
          <a:effectLst/>
        </c:spPr>
        <c:marker>
          <c:symbol val="none"/>
        </c:marker>
      </c:pivotFmt>
    </c:pivotFmts>
    <c:plotArea>
      <c:layout>
        <c:manualLayout>
          <c:layoutTarget val="inner"/>
          <c:xMode val="edge"/>
          <c:yMode val="edge"/>
          <c:x val="7.8853046594982074E-2"/>
          <c:y val="4.5158584148944012E-2"/>
          <c:w val="0.91397849462365588"/>
          <c:h val="0.83491647656192525"/>
        </c:manualLayout>
      </c:layout>
      <c:areaChart>
        <c:grouping val="standard"/>
        <c:varyColors val="0"/>
        <c:ser>
          <c:idx val="0"/>
          <c:order val="0"/>
          <c:tx>
            <c:strRef>
              <c:f>'Pivot Report'!$S$3</c:f>
              <c:strCache>
                <c:ptCount val="1"/>
                <c:pt idx="0">
                  <c:v>Total</c:v>
                </c:pt>
              </c:strCache>
            </c:strRef>
          </c:tx>
          <c:spPr>
            <a:solidFill>
              <a:schemeClr val="accent1">
                <a:lumMod val="50000"/>
              </a:schemeClr>
            </a:solidFill>
            <a:ln w="25400">
              <a:noFill/>
            </a:ln>
            <a:effectLst/>
          </c:spPr>
          <c:cat>
            <c:strRef>
              <c:f>'Pivot Report'!$R$4:$R$35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Report'!$S$4:$S$35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3A3B-42CF-B930-6F27A7843277}"/>
            </c:ext>
          </c:extLst>
        </c:ser>
        <c:dLbls>
          <c:showLegendKey val="0"/>
          <c:showVal val="0"/>
          <c:showCatName val="0"/>
          <c:showSerName val="0"/>
          <c:showPercent val="0"/>
          <c:showBubbleSize val="0"/>
        </c:dLbls>
        <c:axId val="1106320847"/>
        <c:axId val="1106327503"/>
      </c:areaChart>
      <c:catAx>
        <c:axId val="1106320847"/>
        <c:scaling>
          <c:orientation val="minMax"/>
        </c:scaling>
        <c:delete val="1"/>
        <c:axPos val="b"/>
        <c:numFmt formatCode="General" sourceLinked="1"/>
        <c:majorTickMark val="out"/>
        <c:minorTickMark val="none"/>
        <c:tickLblPos val="nextTo"/>
        <c:crossAx val="1106327503"/>
        <c:crosses val="autoZero"/>
        <c:auto val="1"/>
        <c:lblAlgn val="ctr"/>
        <c:lblOffset val="100"/>
        <c:noMultiLvlLbl val="0"/>
      </c:catAx>
      <c:valAx>
        <c:axId val="1106327503"/>
        <c:scaling>
          <c:orientation val="minMax"/>
        </c:scaling>
        <c:delete val="1"/>
        <c:axPos val="l"/>
        <c:numFmt formatCode="0.00" sourceLinked="1"/>
        <c:majorTickMark val="none"/>
        <c:minorTickMark val="none"/>
        <c:tickLblPos val="nextTo"/>
        <c:crossAx val="1106320847"/>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Report!PivotTable14</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Report'!$AU$23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Report'!$AT$24:$AT$32</c:f>
              <c:strCache>
                <c:ptCount val="8"/>
                <c:pt idx="0">
                  <c:v>0-09</c:v>
                </c:pt>
                <c:pt idx="1">
                  <c:v>10-19</c:v>
                </c:pt>
                <c:pt idx="2">
                  <c:v>20-29</c:v>
                </c:pt>
                <c:pt idx="3">
                  <c:v>30-39</c:v>
                </c:pt>
                <c:pt idx="4">
                  <c:v>40-49</c:v>
                </c:pt>
                <c:pt idx="5">
                  <c:v>50-59</c:v>
                </c:pt>
                <c:pt idx="6">
                  <c:v>60-69</c:v>
                </c:pt>
                <c:pt idx="7">
                  <c:v>70-79</c:v>
                </c:pt>
              </c:strCache>
            </c:strRef>
          </c:cat>
          <c:val>
            <c:numRef>
              <c:f>'Pivot Report'!$AU$24:$AU$32</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72E4-45C9-94AE-FF1B419DE81A}"/>
            </c:ext>
          </c:extLst>
        </c:ser>
        <c:dLbls>
          <c:dLblPos val="outEnd"/>
          <c:showLegendKey val="0"/>
          <c:showVal val="1"/>
          <c:showCatName val="0"/>
          <c:showSerName val="0"/>
          <c:showPercent val="0"/>
          <c:showBubbleSize val="0"/>
        </c:dLbls>
        <c:gapWidth val="100"/>
        <c:overlap val="-24"/>
        <c:axId val="1403355199"/>
        <c:axId val="1403352703"/>
      </c:barChart>
      <c:catAx>
        <c:axId val="14033551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3352703"/>
        <c:crosses val="autoZero"/>
        <c:auto val="1"/>
        <c:lblAlgn val="ctr"/>
        <c:lblOffset val="100"/>
        <c:noMultiLvlLbl val="0"/>
      </c:catAx>
      <c:valAx>
        <c:axId val="1403352703"/>
        <c:scaling>
          <c:orientation val="minMax"/>
        </c:scaling>
        <c:delete val="1"/>
        <c:axPos val="l"/>
        <c:numFmt formatCode="General" sourceLinked="1"/>
        <c:majorTickMark val="none"/>
        <c:minorTickMark val="none"/>
        <c:tickLblPos val="nextTo"/>
        <c:crossAx val="1403355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12"/>
  </c:pivotSource>
  <c:chart>
    <c:autoTitleDeleted val="1"/>
    <c:pivotFmts>
      <c:pivotFmt>
        <c:idx val="0"/>
      </c:pivotFmt>
      <c:pivotFmt>
        <c:idx val="1"/>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Report'!$BP$25</c:f>
              <c:strCache>
                <c:ptCount val="1"/>
                <c:pt idx="0">
                  <c:v>Total</c:v>
                </c:pt>
              </c:strCache>
            </c:strRef>
          </c:tx>
          <c:dPt>
            <c:idx val="0"/>
            <c:bubble3D val="0"/>
            <c:spPr>
              <a:solidFill>
                <a:schemeClr val="accent1">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669-4B2C-B199-212DA23058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669-4B2C-B199-212DA23058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8669-4B2C-B199-212DA23058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8669-4B2C-B199-212DA23058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Report'!$BO$26:$BO$28</c:f>
              <c:strCache>
                <c:ptCount val="2"/>
                <c:pt idx="0">
                  <c:v>Delay</c:v>
                </c:pt>
                <c:pt idx="1">
                  <c:v>On Time</c:v>
                </c:pt>
              </c:strCache>
            </c:strRef>
          </c:cat>
          <c:val>
            <c:numRef>
              <c:f>'Pivot Report'!$BP$26:$BP$28</c:f>
              <c:numCache>
                <c:formatCode>0.00%</c:formatCode>
                <c:ptCount val="2"/>
                <c:pt idx="0">
                  <c:v>0.61598440545808963</c:v>
                </c:pt>
                <c:pt idx="1">
                  <c:v>0.38401559454191031</c:v>
                </c:pt>
              </c:numCache>
            </c:numRef>
          </c:val>
          <c:extLst>
            <c:ext xmlns:c16="http://schemas.microsoft.com/office/drawing/2014/chart" uri="{C3380CC4-5D6E-409C-BE32-E72D297353CC}">
              <c16:uniqueId val="{00000005-8669-4B2C-B199-212DA230582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no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3"/>
  </c:pivotSource>
  <c:chart>
    <c:autoTitleDeleted val="1"/>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994989262705798"/>
          <c:y val="7.0404904920481792E-2"/>
          <c:w val="0.53236189349849061"/>
          <c:h val="0.85054371168030873"/>
        </c:manualLayout>
      </c:layout>
      <c:doughnutChart>
        <c:varyColors val="1"/>
        <c:ser>
          <c:idx val="0"/>
          <c:order val="0"/>
          <c:tx>
            <c:strRef>
              <c:f>'Pivot Report'!$BS$19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C63-40E2-A226-72763B61758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C63-40E2-A226-72763B6175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Report'!$BR$20:$BR$22</c:f>
              <c:strCache>
                <c:ptCount val="2"/>
                <c:pt idx="0">
                  <c:v>Female</c:v>
                </c:pt>
                <c:pt idx="1">
                  <c:v>Male</c:v>
                </c:pt>
              </c:strCache>
            </c:strRef>
          </c:cat>
          <c:val>
            <c:numRef>
              <c:f>'Pivot Report'!$BS$20:$BS$22</c:f>
              <c:numCache>
                <c:formatCode>General</c:formatCode>
                <c:ptCount val="2"/>
                <c:pt idx="0">
                  <c:v>241</c:v>
                </c:pt>
                <c:pt idx="1">
                  <c:v>272</c:v>
                </c:pt>
              </c:numCache>
            </c:numRef>
          </c:val>
          <c:extLst>
            <c:ext xmlns:c16="http://schemas.microsoft.com/office/drawing/2014/chart" uri="{C3380CC4-5D6E-409C-BE32-E72D297353CC}">
              <c16:uniqueId val="{00000005-DEDF-40B6-AB4C-BC4E4612D2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92325743764788"/>
          <c:y val="3.9334838389956481E-2"/>
          <c:w val="0.27106299212598423"/>
          <c:h val="0.19405759594735969"/>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Report!PivotTable15</c:name>
    <c:fmtId val="6"/>
  </c:pivotSource>
  <c:chart>
    <c:autoTitleDeleted val="1"/>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305952302180715"/>
          <c:y val="0.16155988857938719"/>
          <c:w val="0.76410734372489153"/>
          <c:h val="0.70920185116136236"/>
        </c:manualLayout>
      </c:layout>
      <c:barChart>
        <c:barDir val="bar"/>
        <c:grouping val="clustered"/>
        <c:varyColors val="0"/>
        <c:ser>
          <c:idx val="0"/>
          <c:order val="0"/>
          <c:tx>
            <c:strRef>
              <c:f>'Pivot Report'!$CB$19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Report'!$CA$20:$CA$28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Report'!$CB$20:$CB$28</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D20E-4543-9DA3-11842919E94C}"/>
            </c:ext>
          </c:extLst>
        </c:ser>
        <c:dLbls>
          <c:showLegendKey val="0"/>
          <c:showVal val="0"/>
          <c:showCatName val="0"/>
          <c:showSerName val="0"/>
          <c:showPercent val="0"/>
          <c:showBubbleSize val="0"/>
        </c:dLbls>
        <c:gapWidth val="115"/>
        <c:overlap val="-20"/>
        <c:axId val="96065327"/>
        <c:axId val="95701007"/>
      </c:barChart>
      <c:catAx>
        <c:axId val="96065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5701007"/>
        <c:crosses val="autoZero"/>
        <c:auto val="1"/>
        <c:lblAlgn val="ctr"/>
        <c:lblOffset val="100"/>
        <c:noMultiLvlLbl val="0"/>
      </c:catAx>
      <c:valAx>
        <c:axId val="9570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065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Sheet5!A1"/><Relationship Id="rId2" Type="http://schemas.openxmlformats.org/officeDocument/2006/relationships/chart" Target="../charts/chart11.xml"/><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hyperlink" Target="#Sheet5!A1"/><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hyperlink" Target="#Sheet5!A1"/><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Avg Wait Time Daily Trend'!A1"/><Relationship Id="rId7" Type="http://schemas.openxmlformats.org/officeDocument/2006/relationships/chart" Target="../charts/chart17.xml"/><Relationship Id="rId12" Type="http://schemas.openxmlformats.org/officeDocument/2006/relationships/image" Target="../media/image2.emf"/><Relationship Id="rId2" Type="http://schemas.openxmlformats.org/officeDocument/2006/relationships/chart" Target="../charts/chart14.xml"/><Relationship Id="rId1" Type="http://schemas.openxmlformats.org/officeDocument/2006/relationships/hyperlink" Target="#'Daily ER No of Patients'!A1"/><Relationship Id="rId6" Type="http://schemas.openxmlformats.org/officeDocument/2006/relationships/chart" Target="../charts/chart16.xml"/><Relationship Id="rId11" Type="http://schemas.openxmlformats.org/officeDocument/2006/relationships/image" Target="../media/image1.jpeg"/><Relationship Id="rId5" Type="http://schemas.openxmlformats.org/officeDocument/2006/relationships/hyperlink" Target="#'Satisfaction Score'!A1"/><Relationship Id="rId10" Type="http://schemas.openxmlformats.org/officeDocument/2006/relationships/chart" Target="../charts/chart20.xml"/><Relationship Id="rId4" Type="http://schemas.openxmlformats.org/officeDocument/2006/relationships/chart" Target="../charts/chart15.xml"/><Relationship Id="rId9"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282575</xdr:colOff>
      <xdr:row>0</xdr:row>
      <xdr:rowOff>184149</xdr:rowOff>
    </xdr:from>
    <xdr:to>
      <xdr:col>9</xdr:col>
      <xdr:colOff>501650</xdr:colOff>
      <xdr:row>8</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200025</xdr:colOff>
      <xdr:row>12</xdr:row>
      <xdr:rowOff>15875</xdr:rowOff>
    </xdr:from>
    <xdr:to>
      <xdr:col>11</xdr:col>
      <xdr:colOff>504825</xdr:colOff>
      <xdr:row>26</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549275</xdr:colOff>
      <xdr:row>1</xdr:row>
      <xdr:rowOff>180975</xdr:rowOff>
    </xdr:from>
    <xdr:to>
      <xdr:col>27</xdr:col>
      <xdr:colOff>244475</xdr:colOff>
      <xdr:row>16</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806450</xdr:colOff>
      <xdr:row>18</xdr:row>
      <xdr:rowOff>25400</xdr:rowOff>
    </xdr:from>
    <xdr:to>
      <xdr:col>38</xdr:col>
      <xdr:colOff>0</xdr:colOff>
      <xdr:row>20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403225</xdr:colOff>
      <xdr:row>4</xdr:row>
      <xdr:rowOff>117475</xdr:rowOff>
    </xdr:from>
    <xdr:to>
      <xdr:col>53</xdr:col>
      <xdr:colOff>98425</xdr:colOff>
      <xdr:row>19</xdr:row>
      <xdr:rowOff>98425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58</xdr:col>
      <xdr:colOff>190499</xdr:colOff>
      <xdr:row>14</xdr:row>
      <xdr:rowOff>92075</xdr:rowOff>
    </xdr:from>
    <xdr:to>
      <xdr:col>62</xdr:col>
      <xdr:colOff>574674</xdr:colOff>
      <xdr:row>25</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73024</xdr:colOff>
      <xdr:row>19</xdr:row>
      <xdr:rowOff>168275</xdr:rowOff>
    </xdr:from>
    <xdr:to>
      <xdr:col>56</xdr:col>
      <xdr:colOff>139699</xdr:colOff>
      <xdr:row>34</xdr:row>
      <xdr:rowOff>149225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333375</xdr:colOff>
      <xdr:row>29</xdr:row>
      <xdr:rowOff>28575</xdr:rowOff>
    </xdr:from>
    <xdr:to>
      <xdr:col>67</xdr:col>
      <xdr:colOff>1374775</xdr:colOff>
      <xdr:row>44</xdr:row>
      <xdr:rowOff>9525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68</xdr:col>
      <xdr:colOff>390525</xdr:colOff>
      <xdr:row>22</xdr:row>
      <xdr:rowOff>174625</xdr:rowOff>
    </xdr:from>
    <xdr:to>
      <xdr:col>73</xdr:col>
      <xdr:colOff>377825</xdr:colOff>
      <xdr:row>37</xdr:row>
      <xdr:rowOff>155575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81</xdr:col>
      <xdr:colOff>130175</xdr:colOff>
      <xdr:row>19</xdr:row>
      <xdr:rowOff>111125</xdr:rowOff>
    </xdr:from>
    <xdr:to>
      <xdr:col>88</xdr:col>
      <xdr:colOff>434975</xdr:colOff>
      <xdr:row>34</xdr:row>
      <xdr:rowOff>92075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80</xdr:col>
      <xdr:colOff>1592140</xdr:colOff>
      <xdr:row>35</xdr:row>
      <xdr:rowOff>30530</xdr:rowOff>
    </xdr:from>
    <xdr:to>
      <xdr:col>82</xdr:col>
      <xdr:colOff>306998</xdr:colOff>
      <xdr:row>40</xdr:row>
      <xdr:rowOff>67165</xdr:rowOff>
    </xdr:to>
    <mc:AlternateContent xmlns:mc="http://schemas.openxmlformats.org/markup-compatibility/2006" xmlns:a14="http://schemas.microsoft.com/office/drawing/2010/main">
      <mc:Choice Requires="a14">
        <xdr:graphicFrame macro="">
          <xdr:nvGraphicFramePr>
            <xdr:cNvPr id="14"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5238678" y="6441588"/>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1</xdr:row>
      <xdr:rowOff>165100</xdr:rowOff>
    </xdr:from>
    <xdr:to>
      <xdr:col>19</xdr:col>
      <xdr:colOff>6350</xdr:colOff>
      <xdr:row>16</xdr:row>
      <xdr:rowOff>158750</xdr:rowOff>
    </xdr:to>
    <xdr:graphicFrame macro="">
      <xdr:nvGraphicFramePr>
        <xdr:cNvPr id="2" name="Chart 1">
          <a:hlinkClick xmlns:r="http://schemas.openxmlformats.org/officeDocument/2006/relationships" r:id="rId1"/>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2</xdr:row>
      <xdr:rowOff>139700</xdr:rowOff>
    </xdr:from>
    <xdr:to>
      <xdr:col>0</xdr:col>
      <xdr:colOff>469900</xdr:colOff>
      <xdr:row>4</xdr:row>
      <xdr:rowOff>25400</xdr:rowOff>
    </xdr:to>
    <xdr:sp macro="" textlink="">
      <xdr:nvSpPr>
        <xdr:cNvPr id="4" name="Right Arrow 3">
          <a:hlinkClick xmlns:r="http://schemas.openxmlformats.org/officeDocument/2006/relationships" r:id="rId3"/>
        </xdr:cNvPr>
        <xdr:cNvSpPr/>
      </xdr:nvSpPr>
      <xdr:spPr>
        <a:xfrm>
          <a:off x="88900" y="508000"/>
          <a:ext cx="381000" cy="2540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469900</xdr:colOff>
      <xdr:row>1</xdr:row>
      <xdr:rowOff>88900</xdr:rowOff>
    </xdr:from>
    <xdr:to>
      <xdr:col>18</xdr:col>
      <xdr:colOff>412750</xdr:colOff>
      <xdr:row>18</xdr:row>
      <xdr:rowOff>25400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101600</xdr:colOff>
      <xdr:row>2</xdr:row>
      <xdr:rowOff>158750</xdr:rowOff>
    </xdr:from>
    <xdr:to>
      <xdr:col>0</xdr:col>
      <xdr:colOff>450850</xdr:colOff>
      <xdr:row>4</xdr:row>
      <xdr:rowOff>57150</xdr:rowOff>
    </xdr:to>
    <xdr:sp macro="" textlink="">
      <xdr:nvSpPr>
        <xdr:cNvPr id="4" name="Right Arrow 3">
          <a:hlinkClick xmlns:r="http://schemas.openxmlformats.org/officeDocument/2006/relationships" r:id="rId2"/>
        </xdr:cNvPr>
        <xdr:cNvSpPr/>
      </xdr:nvSpPr>
      <xdr:spPr>
        <a:xfrm>
          <a:off x="101600" y="527050"/>
          <a:ext cx="349250" cy="2667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120650</xdr:colOff>
      <xdr:row>2</xdr:row>
      <xdr:rowOff>120650</xdr:rowOff>
    </xdr:from>
    <xdr:to>
      <xdr:col>19</xdr:col>
      <xdr:colOff>6350</xdr:colOff>
      <xdr:row>20</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4</xdr:row>
      <xdr:rowOff>127000</xdr:rowOff>
    </xdr:from>
    <xdr:to>
      <xdr:col>1</xdr:col>
      <xdr:colOff>31750</xdr:colOff>
      <xdr:row>6</xdr:row>
      <xdr:rowOff>95250</xdr:rowOff>
    </xdr:to>
    <xdr:sp macro="" textlink="">
      <xdr:nvSpPr>
        <xdr:cNvPr id="4" name="Right Arrow 3">
          <a:hlinkClick xmlns:r="http://schemas.openxmlformats.org/officeDocument/2006/relationships" r:id="rId2"/>
        </xdr:cNvPr>
        <xdr:cNvSpPr/>
      </xdr:nvSpPr>
      <xdr:spPr>
        <a:xfrm>
          <a:off x="209550" y="863600"/>
          <a:ext cx="431800" cy="336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69850</xdr:colOff>
      <xdr:row>0</xdr:row>
      <xdr:rowOff>38100</xdr:rowOff>
    </xdr:from>
    <xdr:to>
      <xdr:col>19</xdr:col>
      <xdr:colOff>63500</xdr:colOff>
      <xdr:row>3</xdr:row>
      <xdr:rowOff>177800</xdr:rowOff>
    </xdr:to>
    <xdr:sp macro="" textlink="">
      <xdr:nvSpPr>
        <xdr:cNvPr id="4" name="Rectangle 3"/>
        <xdr:cNvSpPr/>
      </xdr:nvSpPr>
      <xdr:spPr>
        <a:xfrm>
          <a:off x="69850" y="38100"/>
          <a:ext cx="11576050" cy="6921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Hospital Emergency Room Dashboard</a:t>
          </a:r>
          <a:endParaRPr lang="en-IN" sz="2400" b="1">
            <a:solidFill>
              <a:schemeClr val="bg1"/>
            </a:solidFill>
            <a:effectLst/>
          </a:endParaRPr>
        </a:p>
        <a:p>
          <a:pPr algn="ctr"/>
          <a:endParaRPr lang="en-IN" sz="1100"/>
        </a:p>
      </xdr:txBody>
    </xdr:sp>
    <xdr:clientData/>
  </xdr:twoCellAnchor>
  <xdr:twoCellAnchor>
    <xdr:from>
      <xdr:col>0</xdr:col>
      <xdr:colOff>69850</xdr:colOff>
      <xdr:row>4</xdr:row>
      <xdr:rowOff>63500</xdr:rowOff>
    </xdr:from>
    <xdr:to>
      <xdr:col>1</xdr:col>
      <xdr:colOff>425450</xdr:colOff>
      <xdr:row>23</xdr:row>
      <xdr:rowOff>12700</xdr:rowOff>
    </xdr:to>
    <xdr:sp macro="" textlink="">
      <xdr:nvSpPr>
        <xdr:cNvPr id="7" name="Rectangle 6"/>
        <xdr:cNvSpPr/>
      </xdr:nvSpPr>
      <xdr:spPr>
        <a:xfrm>
          <a:off x="69850" y="800100"/>
          <a:ext cx="965200" cy="3448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63500</xdr:colOff>
      <xdr:row>4</xdr:row>
      <xdr:rowOff>57150</xdr:rowOff>
    </xdr:from>
    <xdr:to>
      <xdr:col>1</xdr:col>
      <xdr:colOff>425450</xdr:colOff>
      <xdr:row>23</xdr:row>
      <xdr:rowOff>158750</xdr:rowOff>
    </xdr:to>
    <mc:AlternateContent xmlns:mc="http://schemas.openxmlformats.org/markup-compatibility/2006" xmlns:a14="http://schemas.microsoft.com/office/drawing/2010/main">
      <mc:Choice Requires="a14">
        <xdr:graphicFrame macro="">
          <xdr:nvGraphicFramePr>
            <xdr:cNvPr id="8" name="Date (Month) 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3500" y="796956"/>
              <a:ext cx="972290" cy="361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520700</xdr:colOff>
      <xdr:row>4</xdr:row>
      <xdr:rowOff>76200</xdr:rowOff>
    </xdr:from>
    <xdr:to>
      <xdr:col>4</xdr:col>
      <xdr:colOff>317500</xdr:colOff>
      <xdr:row>7</xdr:row>
      <xdr:rowOff>158750</xdr:rowOff>
    </xdr:to>
    <xdr:sp macro="" textlink="">
      <xdr:nvSpPr>
        <xdr:cNvPr id="2" name="Rectangle 1"/>
        <xdr:cNvSpPr/>
      </xdr:nvSpPr>
      <xdr:spPr>
        <a:xfrm>
          <a:off x="1130300" y="812800"/>
          <a:ext cx="1625600" cy="635000"/>
        </a:xfrm>
        <a:prstGeom prst="rect">
          <a:avLst/>
        </a:prstGeom>
        <a:no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444500</xdr:colOff>
      <xdr:row>4</xdr:row>
      <xdr:rowOff>82550</xdr:rowOff>
    </xdr:from>
    <xdr:to>
      <xdr:col>7</xdr:col>
      <xdr:colOff>241300</xdr:colOff>
      <xdr:row>7</xdr:row>
      <xdr:rowOff>165100</xdr:rowOff>
    </xdr:to>
    <xdr:sp macro="" textlink="">
      <xdr:nvSpPr>
        <xdr:cNvPr id="6" name="Rectangle 5"/>
        <xdr:cNvSpPr/>
      </xdr:nvSpPr>
      <xdr:spPr>
        <a:xfrm>
          <a:off x="2882900" y="819150"/>
          <a:ext cx="1625600" cy="635000"/>
        </a:xfrm>
        <a:prstGeom prst="rect">
          <a:avLst/>
        </a:prstGeom>
        <a:no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381000</xdr:colOff>
      <xdr:row>4</xdr:row>
      <xdr:rowOff>76200</xdr:rowOff>
    </xdr:from>
    <xdr:to>
      <xdr:col>10</xdr:col>
      <xdr:colOff>177800</xdr:colOff>
      <xdr:row>7</xdr:row>
      <xdr:rowOff>158750</xdr:rowOff>
    </xdr:to>
    <xdr:sp macro="" textlink="">
      <xdr:nvSpPr>
        <xdr:cNvPr id="9" name="Rectangle 8"/>
        <xdr:cNvSpPr/>
      </xdr:nvSpPr>
      <xdr:spPr>
        <a:xfrm>
          <a:off x="4648200" y="812800"/>
          <a:ext cx="1625600" cy="635000"/>
        </a:xfrm>
        <a:prstGeom prst="rect">
          <a:avLst/>
        </a:prstGeom>
        <a:no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158750</xdr:colOff>
      <xdr:row>4</xdr:row>
      <xdr:rowOff>82550</xdr:rowOff>
    </xdr:from>
    <xdr:to>
      <xdr:col>4</xdr:col>
      <xdr:colOff>146050</xdr:colOff>
      <xdr:row>5</xdr:row>
      <xdr:rowOff>101600</xdr:rowOff>
    </xdr:to>
    <xdr:sp macro="" textlink="">
      <xdr:nvSpPr>
        <xdr:cNvPr id="3" name="TextBox 2"/>
        <xdr:cNvSpPr txBox="1"/>
      </xdr:nvSpPr>
      <xdr:spPr>
        <a:xfrm>
          <a:off x="1377950" y="819150"/>
          <a:ext cx="12065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Patient</a:t>
          </a:r>
          <a:endParaRPr lang="en-IN" sz="1100" b="1"/>
        </a:p>
      </xdr:txBody>
    </xdr:sp>
    <xdr:clientData/>
  </xdr:twoCellAnchor>
  <xdr:twoCellAnchor>
    <xdr:from>
      <xdr:col>2</xdr:col>
      <xdr:colOff>400050</xdr:colOff>
      <xdr:row>5</xdr:row>
      <xdr:rowOff>139700</xdr:rowOff>
    </xdr:from>
    <xdr:to>
      <xdr:col>3</xdr:col>
      <xdr:colOff>425450</xdr:colOff>
      <xdr:row>6</xdr:row>
      <xdr:rowOff>82550</xdr:rowOff>
    </xdr:to>
    <xdr:sp macro="" textlink="'Pivot Report'!A4">
      <xdr:nvSpPr>
        <xdr:cNvPr id="5" name="TextBox 4"/>
        <xdr:cNvSpPr txBox="1"/>
      </xdr:nvSpPr>
      <xdr:spPr>
        <a:xfrm>
          <a:off x="1619250" y="1060450"/>
          <a:ext cx="635000" cy="127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06FB06-BE73-4440-90FB-2F6E31042BBB}" type="TxLink">
            <a:rPr lang="en-US" sz="1400" b="1" i="0" u="none" strike="noStrike">
              <a:solidFill>
                <a:srgbClr val="000000"/>
              </a:solidFill>
              <a:latin typeface="Calibri"/>
              <a:ea typeface="Calibri"/>
              <a:cs typeface="Calibri"/>
            </a:rPr>
            <a:pPr algn="ctr"/>
            <a:t>513</a:t>
          </a:fld>
          <a:endParaRPr lang="en-IN" sz="1400" b="1"/>
        </a:p>
      </xdr:txBody>
    </xdr:sp>
    <xdr:clientData/>
  </xdr:twoCellAnchor>
  <xdr:twoCellAnchor>
    <xdr:from>
      <xdr:col>1</xdr:col>
      <xdr:colOff>488950</xdr:colOff>
      <xdr:row>5</xdr:row>
      <xdr:rowOff>114300</xdr:rowOff>
    </xdr:from>
    <xdr:to>
      <xdr:col>4</xdr:col>
      <xdr:colOff>361950</xdr:colOff>
      <xdr:row>8</xdr:row>
      <xdr:rowOff>114300</xdr:rowOff>
    </xdr:to>
    <xdr:graphicFrame macro="">
      <xdr:nvGraphicFramePr>
        <xdr:cNvPr id="10" name="Chart 9">
          <a:hlinkClick xmlns:r="http://schemas.openxmlformats.org/officeDocument/2006/relationships" r:id="rId1"/>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25400</xdr:colOff>
      <xdr:row>4</xdr:row>
      <xdr:rowOff>95250</xdr:rowOff>
    </xdr:from>
    <xdr:to>
      <xdr:col>7</xdr:col>
      <xdr:colOff>12700</xdr:colOff>
      <xdr:row>5</xdr:row>
      <xdr:rowOff>114300</xdr:rowOff>
    </xdr:to>
    <xdr:sp macro="" textlink="">
      <xdr:nvSpPr>
        <xdr:cNvPr id="11" name="TextBox 10"/>
        <xdr:cNvSpPr txBox="1"/>
      </xdr:nvSpPr>
      <xdr:spPr>
        <a:xfrm>
          <a:off x="3073400" y="831850"/>
          <a:ext cx="12065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a:t>
          </a:r>
          <a:r>
            <a:rPr lang="en-IN" sz="1100" b="1" baseline="0"/>
            <a:t> Wait Time</a:t>
          </a:r>
          <a:endParaRPr lang="en-IN" sz="1100" b="1"/>
        </a:p>
      </xdr:txBody>
    </xdr:sp>
    <xdr:clientData/>
  </xdr:twoCellAnchor>
  <xdr:twoCellAnchor>
    <xdr:from>
      <xdr:col>5</xdr:col>
      <xdr:colOff>317500</xdr:colOff>
      <xdr:row>5</xdr:row>
      <xdr:rowOff>146050</xdr:rowOff>
    </xdr:from>
    <xdr:to>
      <xdr:col>6</xdr:col>
      <xdr:colOff>342900</xdr:colOff>
      <xdr:row>6</xdr:row>
      <xdr:rowOff>88900</xdr:rowOff>
    </xdr:to>
    <xdr:sp macro="" textlink="'Pivot Report'!A10">
      <xdr:nvSpPr>
        <xdr:cNvPr id="12" name="TextBox 11"/>
        <xdr:cNvSpPr txBox="1"/>
      </xdr:nvSpPr>
      <xdr:spPr>
        <a:xfrm>
          <a:off x="3365500" y="1066800"/>
          <a:ext cx="635000" cy="127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6D6E03-D9A5-436F-8C9C-8F086B00360B}" type="TxLink">
            <a:rPr lang="en-US" sz="1400" b="1" i="0" u="none" strike="noStrike">
              <a:solidFill>
                <a:srgbClr val="000000"/>
              </a:solidFill>
              <a:latin typeface="Calibri"/>
              <a:ea typeface="Calibri"/>
              <a:cs typeface="Calibri"/>
            </a:rPr>
            <a:pPr algn="ctr"/>
            <a:t>36.32</a:t>
          </a:fld>
          <a:endParaRPr lang="en-IN" sz="1800" b="1"/>
        </a:p>
      </xdr:txBody>
    </xdr:sp>
    <xdr:clientData/>
  </xdr:twoCellAnchor>
  <xdr:twoCellAnchor>
    <xdr:from>
      <xdr:col>4</xdr:col>
      <xdr:colOff>304800</xdr:colOff>
      <xdr:row>5</xdr:row>
      <xdr:rowOff>171451</xdr:rowOff>
    </xdr:from>
    <xdr:to>
      <xdr:col>7</xdr:col>
      <xdr:colOff>241300</xdr:colOff>
      <xdr:row>8</xdr:row>
      <xdr:rowOff>133351</xdr:rowOff>
    </xdr:to>
    <xdr:graphicFrame macro="">
      <xdr:nvGraphicFramePr>
        <xdr:cNvPr id="13" name="Chart 12">
          <a:hlinkClick xmlns:r="http://schemas.openxmlformats.org/officeDocument/2006/relationships" r:id="rId3"/>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546100</xdr:colOff>
      <xdr:row>4</xdr:row>
      <xdr:rowOff>101600</xdr:rowOff>
    </xdr:from>
    <xdr:to>
      <xdr:col>10</xdr:col>
      <xdr:colOff>12700</xdr:colOff>
      <xdr:row>5</xdr:row>
      <xdr:rowOff>114300</xdr:rowOff>
    </xdr:to>
    <xdr:sp macro="" textlink="">
      <xdr:nvSpPr>
        <xdr:cNvPr id="14" name="TextBox 13"/>
        <xdr:cNvSpPr txBox="1"/>
      </xdr:nvSpPr>
      <xdr:spPr>
        <a:xfrm>
          <a:off x="4813300" y="838200"/>
          <a:ext cx="129540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Satisfaction</a:t>
          </a:r>
          <a:r>
            <a:rPr lang="en-IN" sz="1100" b="1" baseline="0"/>
            <a:t> Score</a:t>
          </a:r>
          <a:endParaRPr lang="en-IN" sz="1100" b="1"/>
        </a:p>
      </xdr:txBody>
    </xdr:sp>
    <xdr:clientData/>
  </xdr:twoCellAnchor>
  <xdr:twoCellAnchor>
    <xdr:from>
      <xdr:col>8</xdr:col>
      <xdr:colOff>215900</xdr:colOff>
      <xdr:row>5</xdr:row>
      <xdr:rowOff>152400</xdr:rowOff>
    </xdr:from>
    <xdr:to>
      <xdr:col>9</xdr:col>
      <xdr:colOff>241300</xdr:colOff>
      <xdr:row>6</xdr:row>
      <xdr:rowOff>95250</xdr:rowOff>
    </xdr:to>
    <xdr:sp macro="" textlink="'Pivot Report'!A16">
      <xdr:nvSpPr>
        <xdr:cNvPr id="15" name="TextBox 14"/>
        <xdr:cNvSpPr txBox="1"/>
      </xdr:nvSpPr>
      <xdr:spPr>
        <a:xfrm>
          <a:off x="5092700" y="1073150"/>
          <a:ext cx="635000" cy="127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7E8FC4-E479-4BB3-B50B-6C2570357BD5}" type="TxLink">
            <a:rPr lang="en-US" sz="1400" b="1" i="0" u="none" strike="noStrike">
              <a:solidFill>
                <a:srgbClr val="000000"/>
              </a:solidFill>
              <a:latin typeface="Calibri"/>
              <a:ea typeface="Calibri"/>
              <a:cs typeface="Calibri"/>
            </a:rPr>
            <a:pPr algn="ctr"/>
            <a:t>4.96</a:t>
          </a:fld>
          <a:endParaRPr lang="en-IN" sz="2400" b="1"/>
        </a:p>
      </xdr:txBody>
    </xdr:sp>
    <xdr:clientData/>
  </xdr:twoCellAnchor>
  <xdr:twoCellAnchor>
    <xdr:from>
      <xdr:col>7</xdr:col>
      <xdr:colOff>247650</xdr:colOff>
      <xdr:row>4</xdr:row>
      <xdr:rowOff>107950</xdr:rowOff>
    </xdr:from>
    <xdr:to>
      <xdr:col>10</xdr:col>
      <xdr:colOff>190500</xdr:colOff>
      <xdr:row>8</xdr:row>
      <xdr:rowOff>50800</xdr:rowOff>
    </xdr:to>
    <xdr:graphicFrame macro="">
      <xdr:nvGraphicFramePr>
        <xdr:cNvPr id="16" name="Chart 15">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508000</xdr:colOff>
      <xdr:row>8</xdr:row>
      <xdr:rowOff>82550</xdr:rowOff>
    </xdr:from>
    <xdr:to>
      <xdr:col>10</xdr:col>
      <xdr:colOff>241300</xdr:colOff>
      <xdr:row>18</xdr:row>
      <xdr:rowOff>50800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361950</xdr:colOff>
      <xdr:row>8</xdr:row>
      <xdr:rowOff>88900</xdr:rowOff>
    </xdr:from>
    <xdr:to>
      <xdr:col>7</xdr:col>
      <xdr:colOff>393700</xdr:colOff>
      <xdr:row>9</xdr:row>
      <xdr:rowOff>63500</xdr:rowOff>
    </xdr:to>
    <xdr:sp macro="" textlink="">
      <xdr:nvSpPr>
        <xdr:cNvPr id="19" name="TextBox 18"/>
        <xdr:cNvSpPr txBox="1"/>
      </xdr:nvSpPr>
      <xdr:spPr>
        <a:xfrm>
          <a:off x="2800350" y="1562100"/>
          <a:ext cx="1860550" cy="158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Patient by Age group</a:t>
          </a:r>
          <a:endParaRPr lang="en-IN" sz="1100" b="1"/>
        </a:p>
      </xdr:txBody>
    </xdr:sp>
    <xdr:clientData/>
  </xdr:twoCellAnchor>
  <xdr:twoCellAnchor>
    <xdr:from>
      <xdr:col>10</xdr:col>
      <xdr:colOff>304800</xdr:colOff>
      <xdr:row>8</xdr:row>
      <xdr:rowOff>82550</xdr:rowOff>
    </xdr:from>
    <xdr:to>
      <xdr:col>19</xdr:col>
      <xdr:colOff>107950</xdr:colOff>
      <xdr:row>18</xdr:row>
      <xdr:rowOff>63500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514350</xdr:colOff>
      <xdr:row>18</xdr:row>
      <xdr:rowOff>127000</xdr:rowOff>
    </xdr:from>
    <xdr:to>
      <xdr:col>10</xdr:col>
      <xdr:colOff>241300</xdr:colOff>
      <xdr:row>29</xdr:row>
      <xdr:rowOff>25400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311150</xdr:colOff>
      <xdr:row>18</xdr:row>
      <xdr:rowOff>127000</xdr:rowOff>
    </xdr:from>
    <xdr:to>
      <xdr:col>19</xdr:col>
      <xdr:colOff>120650</xdr:colOff>
      <xdr:row>29</xdr:row>
      <xdr:rowOff>25400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501650</xdr:colOff>
      <xdr:row>18</xdr:row>
      <xdr:rowOff>152400</xdr:rowOff>
    </xdr:from>
    <xdr:to>
      <xdr:col>16</xdr:col>
      <xdr:colOff>139700</xdr:colOff>
      <xdr:row>20</xdr:row>
      <xdr:rowOff>19050</xdr:rowOff>
    </xdr:to>
    <xdr:sp macro="" textlink="">
      <xdr:nvSpPr>
        <xdr:cNvPr id="24" name="TextBox 23"/>
        <xdr:cNvSpPr txBox="1"/>
      </xdr:nvSpPr>
      <xdr:spPr>
        <a:xfrm>
          <a:off x="8426450" y="3467100"/>
          <a:ext cx="14668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Department Referral</a:t>
          </a:r>
        </a:p>
      </xdr:txBody>
    </xdr:sp>
    <xdr:clientData/>
  </xdr:twoCellAnchor>
  <xdr:twoCellAnchor>
    <xdr:from>
      <xdr:col>1</xdr:col>
      <xdr:colOff>603250</xdr:colOff>
      <xdr:row>19</xdr:row>
      <xdr:rowOff>0</xdr:rowOff>
    </xdr:from>
    <xdr:to>
      <xdr:col>4</xdr:col>
      <xdr:colOff>241300</xdr:colOff>
      <xdr:row>20</xdr:row>
      <xdr:rowOff>50800</xdr:rowOff>
    </xdr:to>
    <xdr:sp macro="" textlink="">
      <xdr:nvSpPr>
        <xdr:cNvPr id="27" name="TextBox 26"/>
        <xdr:cNvSpPr txBox="1"/>
      </xdr:nvSpPr>
      <xdr:spPr>
        <a:xfrm>
          <a:off x="1212850" y="3498850"/>
          <a:ext cx="14668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Gender Wise Analysis</a:t>
          </a:r>
        </a:p>
      </xdr:txBody>
    </xdr:sp>
    <xdr:clientData/>
  </xdr:twoCellAnchor>
  <xdr:twoCellAnchor editAs="oneCell">
    <xdr:from>
      <xdr:col>0</xdr:col>
      <xdr:colOff>69850</xdr:colOff>
      <xdr:row>24</xdr:row>
      <xdr:rowOff>19050</xdr:rowOff>
    </xdr:from>
    <xdr:to>
      <xdr:col>1</xdr:col>
      <xdr:colOff>476250</xdr:colOff>
      <xdr:row>29</xdr:row>
      <xdr:rowOff>12700</xdr:rowOff>
    </xdr:to>
    <mc:AlternateContent xmlns:mc="http://schemas.openxmlformats.org/markup-compatibility/2006" xmlns:a14="http://schemas.microsoft.com/office/drawing/2010/main">
      <mc:Choice Requires="a14">
        <xdr:graphicFrame macro="">
          <xdr:nvGraphicFramePr>
            <xdr:cNvPr id="29" name="Date (Year) 1"/>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69850" y="4457885"/>
              <a:ext cx="1016740" cy="91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0</xdr:row>
      <xdr:rowOff>82550</xdr:rowOff>
    </xdr:from>
    <xdr:to>
      <xdr:col>2</xdr:col>
      <xdr:colOff>69850</xdr:colOff>
      <xdr:row>3</xdr:row>
      <xdr:rowOff>107950</xdr:rowOff>
    </xdr:to>
    <xdr:pic>
      <xdr:nvPicPr>
        <xdr:cNvPr id="25" name="Picture 24"/>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33400" y="82550"/>
          <a:ext cx="755650" cy="5778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10</xdr:col>
      <xdr:colOff>308252</xdr:colOff>
      <xdr:row>4</xdr:row>
      <xdr:rowOff>67815</xdr:rowOff>
    </xdr:from>
    <xdr:to>
      <xdr:col>19</xdr:col>
      <xdr:colOff>67816</xdr:colOff>
      <xdr:row>8</xdr:row>
      <xdr:rowOff>0</xdr:rowOff>
    </xdr:to>
    <xdr:sp macro="" textlink="">
      <xdr:nvSpPr>
        <xdr:cNvPr id="26" name="Rectangle 25"/>
        <xdr:cNvSpPr/>
      </xdr:nvSpPr>
      <xdr:spPr>
        <a:xfrm>
          <a:off x="6411650" y="807621"/>
          <a:ext cx="5252622" cy="671991"/>
        </a:xfrm>
        <a:prstGeom prst="rect">
          <a:avLst/>
        </a:prstGeom>
        <a:no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437718</xdr:colOff>
          <xdr:row>4</xdr:row>
          <xdr:rowOff>98640</xdr:rowOff>
        </xdr:from>
        <xdr:to>
          <xdr:col>18</xdr:col>
          <xdr:colOff>228106</xdr:colOff>
          <xdr:row>7</xdr:row>
          <xdr:rowOff>147961</xdr:rowOff>
        </xdr:to>
        <xdr:pic>
          <xdr:nvPicPr>
            <xdr:cNvPr id="31" name="Picture 30"/>
            <xdr:cNvPicPr>
              <a:picLocks noChangeAspect="1" noChangeArrowheads="1"/>
              <a:extLst>
                <a:ext uri="{84589F7E-364E-4C9E-8A38-B11213B215E9}">
                  <a14:cameraTool cellRange="'Pivot Report'!$AG$48:$AI$50" spid="_x0000_s7209"/>
                </a:ext>
              </a:extLst>
            </xdr:cNvPicPr>
          </xdr:nvPicPr>
          <xdr:blipFill>
            <a:blip xmlns:r="http://schemas.openxmlformats.org/officeDocument/2006/relationships" r:embed="rId12"/>
            <a:srcRect/>
            <a:stretch>
              <a:fillRect/>
            </a:stretch>
          </xdr:blipFill>
          <xdr:spPr bwMode="auto">
            <a:xfrm>
              <a:off x="6541116" y="838446"/>
              <a:ext cx="4673107" cy="604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saveData="0" refreshedBy="DELL" refreshedDate="46217.678114467592" createdVersion="6" refreshedVersion="6" minRefreshableVersion="3" recordCount="0" supportSubquery="1" supportAdvancedDrill="1">
  <cacheSource type="external" connectionId="3"/>
  <cacheFields count="3">
    <cacheField name="[Hospital Emergency Room Data].[Patient Gender].[Patient Gender]" caption="Patient Gender" numFmtId="0" hierarchy="13" level="1">
      <sharedItems count="2">
        <s v="Female"/>
        <s v="Male"/>
      </sharedItems>
    </cacheField>
    <cacheField name="[Measures].[Count of Patient Gender]" caption="Count of Patient Gender" numFmtId="0" hierarchy="31"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217.678120486111" createdVersion="6" refreshedVersion="6" minRefreshableVersion="3" recordCount="0" supportSubquery="1" supportAdvancedDrill="1">
  <cacheSource type="external" connectionId="3"/>
  <cacheFields count="4">
    <cacheField name="[Hospital Emergency Room Data].[Patient Admission Flag].[Patient Admission Flag]" caption="Patient Admission Flag" numFmtId="0" hierarchy="9"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4"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217.678123379628" createdVersion="6" refreshedVersion="6" minRefreshableVersion="3" recordCount="0" supportSubquery="1" supportAdvancedDrill="1">
  <cacheSource type="external" connectionId="3"/>
  <cacheFields count="3">
    <cacheField name="[Hospital Emergency Room Data].[Age Group].[Age Group]" caption="Age Group" numFmtId="0" hierarchy="5"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217.678127777777" createdVersion="6" refreshedVersion="6" minRefreshableVersion="3" recordCount="0" supportSubquery="1" supportAdvancedDrill="1">
  <cacheSource type="external" connectionId="3"/>
  <cacheFields count="3">
    <cacheField name="[Hospital Emergency Room Data].[Patient Attend Status].[Patient Attend Status]" caption="Patient Attend Status" numFmtId="0" hierarchy="12" level="1">
      <sharedItems count="2">
        <s v="Delay"/>
        <s v="On Time"/>
      </sharedItems>
    </cacheField>
    <cacheField name="[Measures].[Count of Patient Id]" caption="Count of Patient Id" numFmtId="0" hierarchy="23"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217.679406249998" createdVersion="6" refreshedVersion="6" minRefreshableVersion="3" recordCount="0" supportSubquery="1" supportAdvancedDrill="1">
  <cacheSource type="external" connectionId="3"/>
  <cacheFields count="4">
    <cacheField name="[Measures].[Distinct Count of Patient Id]" caption="Distinct Count of Patient Id" numFmtId="0" hierarchy="24" level="32767"/>
    <cacheField name="[Calendar_Table].[Date (Day)].[Date (Day)]" caption="Date (Day)" numFmtId="0" hierarchy="1"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2" level="1">
      <sharedItems containsSemiMixedTypes="0" containsNonDate="0" containsString="0"/>
    </cacheField>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217.679406712959" createdVersion="6" refreshedVersion="6" minRefreshableVersion="3" recordCount="0" supportSubquery="1" supportAdvancedDrill="1">
  <cacheSource type="external" connectionId="3"/>
  <cacheFields count="3">
    <cacheField name="[Measures].[Distinct Count of Patient Id]" caption="Distinct Count of Patient Id" numFmtId="0" hierarchy="24" level="32767"/>
    <cacheField name="[Calendar_Table].[Date (Month)].[Date (Month)]" caption="Date (Month)" numFmtId="0" hierarchy="2" level="1">
      <sharedItems containsSemiMixedTypes="0" containsNonDate="0" containsString="0"/>
    </cacheField>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217.679406828705" createdVersion="6" refreshedVersion="6" minRefreshableVersion="3" recordCount="0" supportSubquery="1" supportAdvancedDrill="1">
  <cacheSource type="external" connectionId="3"/>
  <cacheFields count="3">
    <cacheField name="[Measures].[Average of Patient Waittime]" caption="Average of Patient Waittime" numFmtId="0" hierarchy="26" level="32767"/>
    <cacheField name="[Calendar_Table].[Date (Month)].[Date (Month)]" caption="Date (Month)" numFmtId="0" hierarchy="2" level="1">
      <sharedItems containsSemiMixedTypes="0" containsNonDate="0" containsString="0"/>
    </cacheField>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217.679407060183" createdVersion="6" refreshedVersion="6" minRefreshableVersion="3" recordCount="0" supportSubquery="1" supportAdvancedDrill="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2" level="1">
      <sharedItems containsSemiMixedTypes="0" containsNonDate="0" containsString="0"/>
    </cacheField>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217.679407523145" createdVersion="6" refreshedVersion="6" minRefreshableVersion="3" recordCount="0" supportSubquery="1" supportAdvancedDrill="1">
  <cacheSource type="external" connectionId="3"/>
  <cacheFields count="4">
    <cacheField name="[Calendar_Table].[Date (Day)].[Date (Day)]" caption="Date (Day)" numFmtId="0" hierarchy="1"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2"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6217.679407986114" createdVersion="6" refreshedVersion="6" minRefreshableVersion="3" recordCount="0" supportSubquery="1" supportAdvancedDrill="1">
  <cacheSource type="external" connectionId="3"/>
  <cacheFields count="4">
    <cacheField name="[Calendar_Table].[Date (Day)].[Date (Day)]" caption="Date (Day)" numFmtId="0" hierarchy="1"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2"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LL" refreshedDate="46217.679408449076" createdVersion="6" refreshedVersion="6" minRefreshableVersion="3" recordCount="0" supportSubquery="1" supportAdvancedDrill="1">
  <cacheSource type="external" connectionId="3"/>
  <cacheFields count="4">
    <cacheField name="[Calendar_Table].[Date (Month)].[Date (Month)]" caption="Date (Month)" numFmtId="0" hierarchy="2" level="1">
      <sharedItems containsSemiMixedTypes="0" containsNonDate="0" containsString="0"/>
    </cacheField>
    <cacheField name="[Hospital Emergency Room Data].[Patient Gender].[Patient Gender]" caption="Patient Gender" numFmtId="0" hierarchy="13" level="1">
      <sharedItems count="2">
        <s v="Female"/>
        <s v="Male"/>
      </sharedItems>
    </cacheField>
    <cacheField name="[Measures].[Count of Patient Gender]" caption="Count of Patient Gender" numFmtId="0" hierarchy="31"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LL" refreshedDate="46217.679408796299" createdVersion="6" refreshedVersion="6" minRefreshableVersion="3" recordCount="0" supportSubquery="1" supportAdvancedDrill="1">
  <cacheSource type="external" connectionId="3"/>
  <cacheFields count="4">
    <cacheField name="[Calendar_Table].[Date (Month)].[Date (Month)]" caption="Date (Month)" numFmtId="0" hierarchy="2" level="1">
      <sharedItems containsSemiMixedTypes="0" containsNonDate="0" containsString="0"/>
    </cacheField>
    <cacheField name="[Hospital Emergency Room Data].[Patient Attend Status].[Patient Attend Status]" caption="Patient Attend Status" numFmtId="0" hierarchy="12" level="1">
      <sharedItems count="2">
        <s v="Delay"/>
        <s v="On Time"/>
      </sharedItems>
    </cacheField>
    <cacheField name="[Measures].[Count of Patient Attend Status]" caption="Count of Patient Attend Status" numFmtId="0" hierarchy="32"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ELL" refreshedDate="46217.679409490738" createdVersion="6" refreshedVersion="6" minRefreshableVersion="3" recordCount="0" supportSubquery="1" supportAdvancedDrill="1">
  <cacheSource type="external" connectionId="3"/>
  <cacheFields count="4">
    <cacheField name="[Calendar_Table].[Date (Month)].[Date (Month)]" caption="Date (Month)" numFmtId="0" hierarchy="2" level="1">
      <sharedItems containsSemiMixedTypes="0" containsNonDate="0" containsString="0"/>
    </cacheField>
    <cacheField name="[Hospital Emergency Room Data].[Age Group].[Age Group]" caption="Age Group" numFmtId="0" hierarchy="5" level="1">
      <sharedItems count="8">
        <s v="0-09"/>
        <s v="10-19"/>
        <s v="20-29"/>
        <s v="30-39"/>
        <s v="40-49"/>
        <s v="50-59"/>
        <s v="60-69"/>
        <s v="70-79"/>
      </sharedItems>
    </cacheField>
    <cacheField name="[Measures].[Count of Patient Id]" caption="Count of Patient Id" numFmtId="0" hierarchy="23" level="32767"/>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DELL" refreshedDate="46217.679409837961" createdVersion="6" refreshedVersion="6" minRefreshableVersion="3" recordCount="0" supportSubquery="1" supportAdvancedDrill="1">
  <cacheSource type="external" connectionId="3"/>
  <cacheFields count="4">
    <cacheField name="[Calendar_Table].[Date (Month)].[Date (Month)]" caption="Date (Month)" numFmtId="0" hierarchy="2"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6" level="1">
      <sharedItems count="8">
        <s v="Cardiology"/>
        <s v="Gastroenterology"/>
        <s v="General Practice"/>
        <s v="Neurology"/>
        <s v="None"/>
        <s v="Orthopedics"/>
        <s v="Physiotherapy"/>
        <s v="Renal"/>
      </sharedItems>
    </cacheField>
    <cacheField name="[Calendar_Table].[Date (Year)].[Date (Year)]" caption="Date (Year)" numFmtId="0" hierarchy="4"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DELL" refreshedDate="46217.679410185185" createdVersion="6" refreshedVersion="6" minRefreshableVersion="3" recordCount="0" supportSubquery="1" supportAdvancedDrill="1">
  <cacheSource type="external" connectionId="3"/>
  <cacheFields count="4">
    <cacheField name="[Calendar_Table].[Date (Month)].[Date (Month)]" caption="Date (Month)" numFmtId="0" hierarchy="2" level="1">
      <sharedItems containsNonDate="0" count="1">
        <s v="Jan"/>
      </sharedItems>
    </cacheField>
    <cacheField name="[Calendar_Table].[Date].[Date]" caption="Date" numFmtId="0" level="1">
      <sharedItems containsSemiMixedTypes="0" containsNonDate="0" containsDate="1" containsString="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3" level="1">
      <sharedItems containsNonDate="0" count="1">
        <s v="Qtr1"/>
      </sharedItems>
    </cacheField>
    <cacheField name="[Calendar_Table].[Date (Year)].[Date (Year)]" caption="Date (Year)" numFmtId="0" hierarchy="4"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DELL" refreshedDate="46259.530623148145" createdVersion="6" refreshedVersion="6" minRefreshableVersion="3" recordCount="0" supportSubquery="1" supportAdvancedDrill="1">
  <cacheSource type="external" connectionId="3"/>
  <cacheFields count="5">
    <cacheField name="[Calendar_Table].[Date (Month)].[Date (Month)]" caption="Date (Month)" numFmtId="0" hierarchy="2" level="1">
      <sharedItems containsSemiMixedTypes="0" containsNonDate="0" containsString="0"/>
    </cacheField>
    <cacheField name="[Hospital Emergency Room Data].[Patient Admission Flag].[Patient Admission Flag]" caption="Patient Admission Flag" numFmtId="0" hierarchy="9"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4"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DELL" refreshedDate="46259.535858912037" createdVersion="6" refreshedVersion="6" minRefreshableVersion="3" recordCount="0" supportSubquery="1" supportAdvancedDrill="1">
  <cacheSource type="external" connectionId="3"/>
  <cacheFields count="5">
    <cacheField name="[Calendar_Table].[Date (Month)].[Date (Month)]" caption="Date (Month)" numFmtId="0" hierarchy="2" level="1">
      <sharedItems containsSemiMixedTypes="0" containsNonDate="0" containsString="0"/>
    </cacheField>
    <cacheField name="[Calendar_Table].[Date (Year)].[Date (Year)]" caption="Date (Year)" numFmtId="0" hierarchy="4"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9" level="1">
      <sharedItems count="2">
        <s v="Admitted"/>
        <s v="Not Admitted"/>
      </sharedItems>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DELL" refreshedDate="46203.565701273146"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PivotTable17" cacheId="16" applyNumberFormats="0" applyBorderFormats="0" applyFontFormats="0" applyPatternFormats="0" applyAlignmentFormats="0" applyWidthHeightFormats="1" dataCaption="Values" tag="dca9ad7f-d8d7-4fce-92cc-f88862ac71bd" updatedVersion="6" minRefreshableVersion="3" subtotalHiddenItems="1" itemPrintTitles="1" createdVersion="6" indent="0" outline="1" outlineData="1" multipleFieldFilters="0" chartFormat="8">
  <location ref="AG36:AI39" firstHeaderRow="0" firstDataRow="1" firstDataCol="1"/>
  <pivotFields count="5">
    <pivotField allDrilled="1" showAll="0" dataSourceSort="1" defaultAttributeDrillState="1"/>
    <pivotField allDrilled="1" showAll="0" dataSourceSort="1" defaultAttributeDrillState="1"/>
    <pivotField dataField="1" showAll="0"/>
    <pivotField axis="axisRow" allDrilled="1"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3">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collapsedLevelsAreSubtotals="1" fieldPosition="0">
        <references count="1">
          <reference field="3" count="1">
            <x v="0"/>
          </reference>
        </references>
      </pivotArea>
    </format>
    <format dxfId="5">
      <pivotArea collapsedLevelsAreSubtotals="1" fieldPosition="0">
        <references count="1">
          <reference field="3" count="1">
            <x v="0"/>
          </reference>
        </references>
      </pivotArea>
    </format>
    <format dxfId="4">
      <pivotArea collapsedLevelsAreSubtotals="1" fieldPosition="0">
        <references count="1">
          <reference field="3" count="1">
            <x v="0"/>
          </reference>
        </references>
      </pivotArea>
    </format>
    <format dxfId="3">
      <pivotArea collapsedLevelsAreSubtotals="1" fieldPosition="0">
        <references count="1">
          <reference field="3" count="1">
            <x v="0"/>
          </reference>
        </references>
      </pivotArea>
    </format>
    <format dxfId="2">
      <pivotArea collapsedLevelsAreSubtotals="1" fieldPosition="0">
        <references count="1">
          <reference field="3" count="1">
            <x v="1"/>
          </reference>
        </references>
      </pivotArea>
    </format>
    <format dxfId="1">
      <pivotArea collapsedLevelsAreSubtotals="1" fieldPosition="0">
        <references count="1">
          <reference field="3" count="1">
            <x v="1"/>
          </reference>
        </references>
      </pivotArea>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Hierarchies count="37">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xml><?xml version="1.0" encoding="utf-8"?>
<pivotTableDefinition xmlns="http://schemas.openxmlformats.org/spreadsheetml/2006/main" name="PivotTable16" cacheId="14"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chartFormat="4">
  <location ref="CB41:CB43" firstHeaderRow="1" firstDataRow="1" firstDataCol="1"/>
  <pivotFields count="4">
    <pivotField axis="axisRow" allDrilled="1" showAll="0" dataSourceSort="1">
      <items count="2">
        <item s="1" x="0" e="0"/>
        <item t="default"/>
      </items>
    </pivotField>
    <pivotField axis="axisRow" allDrilled="1" showAll="0" dataSourceSort="1"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pivotHierarchies count="36">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
    <rowHierarchyUsage hierarchyUsage="3"/>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3.xml><?xml version="1.0" encoding="utf-8"?>
<pivotTableDefinition xmlns="http://schemas.openxmlformats.org/spreadsheetml/2006/main" name="PivotTable2" cacheId="9" applyNumberFormats="0" applyBorderFormats="0" applyFontFormats="0" applyPatternFormats="0" applyAlignmentFormats="0" applyWidthHeightFormats="1" dataCaption="Values" tag="966efd6e-24b3-441d-9285-a4967a7d7be8" updatedVersion="6" minRefreshableVersion="3" subtotalHiddenItems="1" itemPrintTitles="1" createdVersion="6" indent="0" outline="1" outlineData="1" multipleFieldFilters="0" chartFormat="36">
  <location ref="R3:S35"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8">
    <format dxfId="20">
      <pivotArea collapsedLevelsAreSubtotals="1" fieldPosition="0">
        <references count="1">
          <reference field="0" count="0"/>
        </references>
      </pivotArea>
    </format>
    <format dxfId="19">
      <pivotArea collapsedLevelsAreSubtotals="1" fieldPosition="0">
        <references count="1">
          <reference field="0" count="0"/>
        </references>
      </pivotArea>
    </format>
    <format dxfId="18">
      <pivotArea collapsedLevelsAreSubtotals="1" fieldPosition="0">
        <references count="1">
          <reference field="0" count="0"/>
        </references>
      </pivotArea>
    </format>
    <format dxfId="17">
      <pivotArea collapsedLevelsAreSubtotals="1" fieldPosition="0">
        <references count="1">
          <reference field="0" count="0"/>
        </references>
      </pivotArea>
    </format>
    <format dxfId="16">
      <pivotArea collapsedLevelsAreSubtotals="1" fieldPosition="0">
        <references count="1">
          <reference field="0" count="0"/>
        </references>
      </pivotArea>
    </format>
    <format dxfId="15">
      <pivotArea collapsedLevelsAreSubtotals="1" fieldPosition="0">
        <references count="1">
          <reference field="0" count="0"/>
        </references>
      </pivotArea>
    </format>
    <format dxfId="14">
      <pivotArea collapsedLevelsAreSubtotals="1" fieldPosition="0">
        <references count="1">
          <reference field="0" count="0"/>
        </references>
      </pivotArea>
    </format>
    <format dxfId="13">
      <pivotArea collapsedLevelsAreSubtotals="1" fieldPosition="0">
        <references count="1">
          <reference field="0" count="0"/>
        </references>
      </pivotArea>
    </format>
  </formats>
  <chartFormats count="4">
    <chartFormat chart="20" format="0"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12">
  <location ref="AG7:AI10" firstHeaderRow="0"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location ref="A3:A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6.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14">
  <location ref="AQ6:AR15" firstHeaderRow="1" firstDataRow="1" firstDataCol="1"/>
  <pivotFields count="3">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7.xml><?xml version="1.0" encoding="utf-8"?>
<pivotTableDefinition xmlns="http://schemas.openxmlformats.org/spreadsheetml/2006/main" name="PivotTable7" cacheId="7" applyNumberFormats="0" applyBorderFormats="0" applyFontFormats="0" applyPatternFormats="0" applyAlignmentFormats="0" applyWidthHeightFormats="1" dataCaption="Values" tag="dca9ad7f-d8d7-4fce-92cc-f88862ac71bd" updatedVersion="6" minRefreshableVersion="3" subtotalHiddenItems="1" itemPrintTitles="1" createdVersion="6" indent="0" outline="1" outlineData="1" multipleFieldFilters="0">
  <location ref="A15:A16"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dataFields>
  <formats count="6">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O19:BP22"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Patient Gender" fld="1" subtotal="count" baseField="0" baseItem="0"/>
  </dataFields>
  <pivotHierarchies count="36">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9.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BG11:BH14"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0.xml><?xml version="1.0" encoding="utf-8"?>
<pivotTableDefinition xmlns="http://schemas.openxmlformats.org/spreadsheetml/2006/main" name="PivotTable1" cacheId="8" applyNumberFormats="0" applyBorderFormats="0" applyFontFormats="0" applyPatternFormats="0" applyAlignmentFormats="0" applyWidthHeightFormats="1" dataCaption="Values" tag="966efd6e-24b3-441d-9285-a4967a7d7be8" updatedVersion="6" minRefreshableVersion="3" subtotalHiddenItems="1" itemPrintTitles="1" createdVersion="6" indent="0" outline="1" outlineData="1" multipleFieldFilters="0" chartFormat="29">
  <location ref="N3:O35"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8">
    <format dxfId="34">
      <pivotArea collapsedLevelsAreSubtotals="1" fieldPosition="0">
        <references count="1">
          <reference field="0" count="0"/>
        </references>
      </pivotArea>
    </format>
    <format dxfId="33">
      <pivotArea collapsedLevelsAreSubtotals="1" fieldPosition="0">
        <references count="1">
          <reference field="0" count="0"/>
        </references>
      </pivotArea>
    </format>
    <format dxfId="32">
      <pivotArea collapsedLevelsAreSubtotals="1" fieldPosition="0">
        <references count="1">
          <reference field="0" count="0"/>
        </references>
      </pivotArea>
    </format>
    <format dxfId="31">
      <pivotArea collapsedLevelsAreSubtotals="1" fieldPosition="0">
        <references count="1">
          <reference field="0" count="0"/>
        </references>
      </pivotArea>
    </format>
    <format dxfId="30">
      <pivotArea collapsedLevelsAreSubtotals="1" fieldPosition="0">
        <references count="1">
          <reference field="0" count="0"/>
        </references>
      </pivotArea>
    </format>
    <format dxfId="29">
      <pivotArea collapsedLevelsAreSubtotals="1" fieldPosition="0">
        <references count="1">
          <reference field="0" count="0"/>
        </references>
      </pivotArea>
    </format>
    <format dxfId="28">
      <pivotArea collapsedLevelsAreSubtotals="1" fieldPosition="0">
        <references count="1">
          <reference field="0" count="0"/>
        </references>
      </pivotArea>
    </format>
    <format dxfId="27">
      <pivotArea collapsedLevelsAreSubtotals="1" fieldPosition="0">
        <references count="1">
          <reference field="0" count="0"/>
        </references>
      </pivotArea>
    </format>
  </formats>
  <chartFormats count="3">
    <chartFormat chart="14"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1.xml><?xml version="1.0" encoding="utf-8"?>
<pivotTableDefinition xmlns="http://schemas.openxmlformats.org/spreadsheetml/2006/main" name="PivotTable12" cacheId="11"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chartFormat="16">
  <location ref="BO25:BP28"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showDataAs="percentOfTotal" baseField="0" baseItem="0" numFmtId="1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 count="1" selected="0">
            <x v="0"/>
          </reference>
        </references>
      </pivotArea>
    </chartFormat>
    <chartFormat chart="12" format="1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2.xml><?xml version="1.0" encoding="utf-8"?>
<pivotTableDefinition xmlns="http://schemas.openxmlformats.org/spreadsheetml/2006/main" name="PivotTable6" cacheId="6" applyNumberFormats="0" applyBorderFormats="0" applyFontFormats="0" applyPatternFormats="0" applyAlignmentFormats="0" applyWidthHeightFormats="1" dataCaption="Values" tag="2320cd43-36aa-44d1-92e6-84103d509aa3" updatedVersion="6" minRefreshableVersion="3" subtotalHiddenItems="1" itemPrintTitles="1" createdVersion="6" indent="0" outline="1" outlineData="1" multipleFieldFilters="0">
  <location ref="A9:A10"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0" numFmtId="2"/>
  </dataFields>
  <formats count="6">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3.xml><?xml version="1.0" encoding="utf-8"?>
<pivotTableDefinition xmlns="http://schemas.openxmlformats.org/spreadsheetml/2006/main" name="PivotTable8" cacheId="4" applyNumberFormats="0" applyBorderFormats="0" applyFontFormats="0" applyPatternFormats="0" applyAlignmentFormats="0" applyWidthHeightFormats="1" dataCaption="Values" tag="966efd6e-24b3-441d-9285-a4967a7d7be8" updatedVersion="6" minRefreshableVersion="3" subtotalHiddenItems="1" itemPrintTitles="1" createdVersion="6" indent="0" outline="1" outlineData="1" multipleFieldFilters="0" chartFormat="20">
  <location ref="C3:D35" firstHeaderRow="1" firstDataRow="1" firstDataCol="1"/>
  <pivotFields count="4">
    <pivotField dataField="1" showAll="0"/>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4.xml><?xml version="1.0" encoding="utf-8"?>
<pivotTableDefinition xmlns="http://schemas.openxmlformats.org/spreadsheetml/2006/main" name="PivotTable15" cacheId="13"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chartFormat="7">
  <location ref="CA19:CB28" firstHeaderRow="1" firstDataRow="1" firstDataCol="1"/>
  <pivotFields count="4">
    <pivotField allDrilled="1" showAll="0" dataSourceSort="1" defaultAttributeDrillState="1"/>
    <pivotField dataField="1" showAll="0"/>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5.xml><?xml version="1.0" encoding="utf-8"?>
<pivotTableDefinition xmlns="http://schemas.openxmlformats.org/spreadsheetml/2006/main" name="PivotTable14" cacheId="12"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chartFormat="7">
  <location ref="AT23:AU32"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6.xml><?xml version="1.0" encoding="utf-8"?>
<pivotTableDefinition xmlns="http://schemas.openxmlformats.org/spreadsheetml/2006/main" name="PivotTable13" cacheId="15"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rowHeaderCaption="Admission Status">
  <location ref="AG25:AI28"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No. of Patients" fld="2" subtotal="count" baseField="1" baseItem="0"/>
    <dataField name="% of Total"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42">
      <pivotArea dataOnly="0" labelOnly="1" outline="0" fieldPosition="0">
        <references count="1">
          <reference field="4294967294" count="1">
            <x v="0"/>
          </reference>
        </references>
      </pivotArea>
    </format>
    <format dxfId="41">
      <pivotArea dataOnly="0" labelOnly="1" outline="0" fieldPosition="0">
        <references count="1">
          <reference field="4294967294" count="1">
            <x v="1"/>
          </reference>
        </references>
      </pivotArea>
    </format>
  </formats>
  <pivotHierarchies count="37">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7.xml><?xml version="1.0" encoding="utf-8"?>
<pivotTableDefinition xmlns="http://schemas.openxmlformats.org/spreadsheetml/2006/main" name="PivotTable11" cacheId="10" applyNumberFormats="0" applyBorderFormats="0" applyFontFormats="0" applyPatternFormats="0" applyAlignmentFormats="0" applyWidthHeightFormats="1" dataCaption="Values" tag="0777ee77-fce8-47f3-8991-b634afcda80a" updatedVersion="6" minRefreshableVersion="3" subtotalHiddenItems="1" itemPrintTitles="1" createdVersion="6" indent="0" outline="1" outlineData="1" multipleFieldFilters="0" chartFormat="4">
  <location ref="BR19:BS22"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ar_Table].[Date (Month)]">
  <pivotTables>
    <pivotTable tabId="9" name="PivotTable8"/>
    <pivotTable tabId="9" name="PivotTable5"/>
    <pivotTable tabId="9" name="PivotTable6"/>
    <pivotTable tabId="9" name="PivotTable7"/>
    <pivotTable tabId="9" name="PivotTable1"/>
    <pivotTable tabId="9" name="PivotTable2"/>
    <pivotTable tabId="9" name="PivotTable11"/>
    <pivotTable tabId="9" name="PivotTable12"/>
    <pivotTable tabId="9" name="PivotTable13"/>
    <pivotTable tabId="9" name="PivotTable14"/>
    <pivotTable tabId="9" name="PivotTable15"/>
    <pivotTable tabId="9" name="PivotTable16"/>
    <pivotTable tabId="9" name="PivotTable17"/>
  </pivotTables>
  <data>
    <olap pivotCacheId="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ar_Table].[Date (Year)]">
  <pivotTables>
    <pivotTable tabId="9" name="PivotTable16"/>
    <pivotTable tabId="9" name="PivotTable1"/>
    <pivotTable tabId="9" name="PivotTable10"/>
    <pivotTable tabId="9" name="PivotTable11"/>
    <pivotTable tabId="9" name="PivotTable12"/>
    <pivotTable tabId="9" name="PivotTable13"/>
    <pivotTable tabId="9" name="PivotTable14"/>
    <pivotTable tabId="9" name="PivotTable15"/>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7"/>
  </pivotTables>
  <data>
    <olap pivotCacheId="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Year)" cache="Slicer_Date__Year"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e (Month) 1" cache="Slicer_Date__Month" caption="Date (Month)" showCaption="0" level="1" style="My Style" rowHeight="241300"/>
  <slicer name="Date (Year) 1" cache="Slicer_Date__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B50"/>
  <sheetViews>
    <sheetView topLeftCell="AD44" zoomScale="104" workbookViewId="0">
      <selection activeCell="AG48" sqref="AG48:AI50"/>
    </sheetView>
  </sheetViews>
  <sheetFormatPr defaultRowHeight="14.5" x14ac:dyDescent="0.35"/>
  <cols>
    <col min="1" max="1" width="28.54296875" customWidth="1"/>
    <col min="3" max="3" width="41.08984375" customWidth="1"/>
    <col min="4" max="4" width="28.08984375" customWidth="1"/>
    <col min="14" max="14" width="15.54296875" customWidth="1"/>
    <col min="15" max="15" width="28.1796875" customWidth="1"/>
    <col min="19" max="19" width="28.1796875" customWidth="1"/>
    <col min="33" max="33" width="17.6328125" customWidth="1"/>
    <col min="34" max="34" width="14.7265625" customWidth="1"/>
    <col min="35" max="35" width="14.453125" customWidth="1"/>
    <col min="37" max="37" width="8.7265625" customWidth="1"/>
    <col min="38" max="38" width="2.6328125" customWidth="1"/>
    <col min="43" max="43" width="12.36328125" bestFit="1" customWidth="1"/>
    <col min="44" max="44" width="17.54296875" bestFit="1" customWidth="1"/>
    <col min="59" max="59" width="12.36328125" bestFit="1" customWidth="1"/>
    <col min="60" max="60" width="16.81640625" bestFit="1" customWidth="1"/>
    <col min="67" max="67" width="12.36328125" customWidth="1"/>
    <col min="68" max="68" width="21.54296875" bestFit="1" customWidth="1"/>
    <col min="70" max="70" width="30.7265625" customWidth="1"/>
    <col min="79" max="79" width="22.7265625" customWidth="1"/>
    <col min="80" max="80" width="13.26953125" customWidth="1"/>
    <col min="81" max="81" width="35.81640625" customWidth="1"/>
  </cols>
  <sheetData>
    <row r="2" spans="1:62" x14ac:dyDescent="0.35">
      <c r="A2" t="s">
        <v>3</v>
      </c>
    </row>
    <row r="3" spans="1:62" x14ac:dyDescent="0.35">
      <c r="A3" t="s">
        <v>2</v>
      </c>
      <c r="C3" s="2" t="s">
        <v>0</v>
      </c>
      <c r="D3" t="s">
        <v>2</v>
      </c>
      <c r="N3" s="2" t="s">
        <v>0</v>
      </c>
      <c r="O3" t="s">
        <v>4</v>
      </c>
      <c r="R3" s="2" t="s">
        <v>0</v>
      </c>
      <c r="S3" t="s">
        <v>5</v>
      </c>
    </row>
    <row r="4" spans="1:62" x14ac:dyDescent="0.35">
      <c r="A4" s="1">
        <v>513</v>
      </c>
      <c r="C4" s="3" t="s">
        <v>6</v>
      </c>
      <c r="D4" s="1">
        <v>19</v>
      </c>
      <c r="N4" s="3" t="s">
        <v>6</v>
      </c>
      <c r="O4" s="4">
        <v>37.789473684210527</v>
      </c>
      <c r="R4" s="3" t="s">
        <v>6</v>
      </c>
      <c r="S4" s="4">
        <v>6.666666666666667</v>
      </c>
    </row>
    <row r="5" spans="1:62" x14ac:dyDescent="0.35">
      <c r="C5" s="3" t="s">
        <v>7</v>
      </c>
      <c r="D5" s="1">
        <v>14</v>
      </c>
      <c r="N5" s="3" t="s">
        <v>7</v>
      </c>
      <c r="O5" s="4">
        <v>38.214285714285715</v>
      </c>
      <c r="R5" s="3" t="s">
        <v>7</v>
      </c>
      <c r="S5" s="4">
        <v>3.5</v>
      </c>
    </row>
    <row r="6" spans="1:62" x14ac:dyDescent="0.35">
      <c r="C6" s="3" t="s">
        <v>8</v>
      </c>
      <c r="D6" s="1">
        <v>13</v>
      </c>
      <c r="N6" s="3" t="s">
        <v>8</v>
      </c>
      <c r="O6" s="4">
        <v>40.92307692307692</v>
      </c>
      <c r="R6" s="3" t="s">
        <v>8</v>
      </c>
      <c r="S6" s="4">
        <v>4.5</v>
      </c>
      <c r="AQ6" s="2" t="s">
        <v>0</v>
      </c>
      <c r="AR6" t="s">
        <v>55</v>
      </c>
    </row>
    <row r="7" spans="1:62" x14ac:dyDescent="0.35">
      <c r="C7" s="3" t="s">
        <v>9</v>
      </c>
      <c r="D7" s="1">
        <v>22</v>
      </c>
      <c r="N7" s="3" t="s">
        <v>9</v>
      </c>
      <c r="O7" s="4">
        <v>34.5</v>
      </c>
      <c r="R7" s="3" t="s">
        <v>9</v>
      </c>
      <c r="S7" s="4">
        <v>4.8</v>
      </c>
      <c r="AG7" s="2" t="s">
        <v>0</v>
      </c>
      <c r="AH7" t="s">
        <v>42</v>
      </c>
      <c r="AI7" t="s">
        <v>43</v>
      </c>
      <c r="AQ7" s="3" t="s">
        <v>47</v>
      </c>
      <c r="AR7" s="1">
        <v>633</v>
      </c>
    </row>
    <row r="8" spans="1:62" x14ac:dyDescent="0.35">
      <c r="C8" s="3" t="s">
        <v>10</v>
      </c>
      <c r="D8" s="1">
        <v>19</v>
      </c>
      <c r="N8" s="3" t="s">
        <v>10</v>
      </c>
      <c r="O8" s="4">
        <v>30.684210526315791</v>
      </c>
      <c r="R8" s="3" t="s">
        <v>10</v>
      </c>
      <c r="S8" s="4">
        <v>7.75</v>
      </c>
      <c r="AG8" s="3" t="s">
        <v>40</v>
      </c>
      <c r="AH8" s="1">
        <v>2455</v>
      </c>
      <c r="AI8" s="8">
        <v>0.50328003280032796</v>
      </c>
      <c r="AQ8" s="3" t="s">
        <v>48</v>
      </c>
      <c r="AR8" s="1">
        <v>604</v>
      </c>
    </row>
    <row r="9" spans="1:62" x14ac:dyDescent="0.35">
      <c r="A9" t="s">
        <v>4</v>
      </c>
      <c r="C9" s="3" t="s">
        <v>11</v>
      </c>
      <c r="D9" s="1">
        <v>15</v>
      </c>
      <c r="N9" s="3" t="s">
        <v>11</v>
      </c>
      <c r="O9" s="4">
        <v>37.666666666666664</v>
      </c>
      <c r="R9" s="3" t="s">
        <v>11</v>
      </c>
      <c r="S9" s="4">
        <v>6.2</v>
      </c>
      <c r="AG9" s="3" t="s">
        <v>41</v>
      </c>
      <c r="AH9" s="1">
        <v>2423</v>
      </c>
      <c r="AI9" s="8">
        <v>0.49671996719967199</v>
      </c>
      <c r="AQ9" s="3" t="s">
        <v>49</v>
      </c>
      <c r="AR9" s="1">
        <v>640</v>
      </c>
    </row>
    <row r="10" spans="1:62" x14ac:dyDescent="0.35">
      <c r="A10" s="4">
        <v>36.323586744639378</v>
      </c>
      <c r="C10" s="3" t="s">
        <v>12</v>
      </c>
      <c r="D10" s="1">
        <v>12</v>
      </c>
      <c r="N10" s="3" t="s">
        <v>12</v>
      </c>
      <c r="O10" s="4">
        <v>36.083333333333336</v>
      </c>
      <c r="R10" s="3" t="s">
        <v>12</v>
      </c>
      <c r="S10" s="4">
        <v>3.75</v>
      </c>
      <c r="AG10" s="3" t="s">
        <v>1</v>
      </c>
      <c r="AH10" s="1">
        <v>4878</v>
      </c>
      <c r="AI10" s="8">
        <v>1</v>
      </c>
      <c r="AQ10" s="3" t="s">
        <v>50</v>
      </c>
      <c r="AR10" s="1">
        <v>618</v>
      </c>
    </row>
    <row r="11" spans="1:62" x14ac:dyDescent="0.35">
      <c r="C11" s="3" t="s">
        <v>13</v>
      </c>
      <c r="D11" s="1">
        <v>21</v>
      </c>
      <c r="H11" t="s">
        <v>37</v>
      </c>
      <c r="N11" s="3" t="s">
        <v>13</v>
      </c>
      <c r="O11" s="4">
        <v>43.523809523809526</v>
      </c>
      <c r="R11" s="3" t="s">
        <v>13</v>
      </c>
      <c r="S11" s="4">
        <v>6.5</v>
      </c>
      <c r="AQ11" s="3" t="s">
        <v>51</v>
      </c>
      <c r="AR11" s="1">
        <v>594</v>
      </c>
      <c r="BG11" s="2" t="s">
        <v>0</v>
      </c>
      <c r="BH11" t="s">
        <v>56</v>
      </c>
    </row>
    <row r="12" spans="1:62" x14ac:dyDescent="0.35">
      <c r="C12" s="3" t="s">
        <v>14</v>
      </c>
      <c r="D12" s="1">
        <v>12</v>
      </c>
      <c r="N12" s="3" t="s">
        <v>14</v>
      </c>
      <c r="O12" s="4">
        <v>29.5</v>
      </c>
      <c r="R12" s="3" t="s">
        <v>14</v>
      </c>
      <c r="S12" s="4">
        <v>3</v>
      </c>
      <c r="AQ12" s="3" t="s">
        <v>52</v>
      </c>
      <c r="AR12" s="1">
        <v>629</v>
      </c>
      <c r="BG12" s="3" t="s">
        <v>38</v>
      </c>
      <c r="BH12" s="1">
        <v>2951</v>
      </c>
    </row>
    <row r="13" spans="1:62" x14ac:dyDescent="0.35">
      <c r="C13" s="3" t="s">
        <v>15</v>
      </c>
      <c r="D13" s="1">
        <v>13</v>
      </c>
      <c r="N13" s="3" t="s">
        <v>15</v>
      </c>
      <c r="O13" s="4">
        <v>38.07692307692308</v>
      </c>
      <c r="R13" s="3" t="s">
        <v>15</v>
      </c>
      <c r="S13" s="4">
        <v>4.5</v>
      </c>
      <c r="AQ13" s="3" t="s">
        <v>53</v>
      </c>
      <c r="AR13" s="1">
        <v>599</v>
      </c>
      <c r="BG13" s="3" t="s">
        <v>39</v>
      </c>
      <c r="BH13" s="1">
        <v>1927</v>
      </c>
      <c r="BJ13" t="s">
        <v>57</v>
      </c>
    </row>
    <row r="14" spans="1:62" x14ac:dyDescent="0.35">
      <c r="C14" s="3" t="s">
        <v>16</v>
      </c>
      <c r="D14" s="1">
        <v>13</v>
      </c>
      <c r="N14" s="3" t="s">
        <v>16</v>
      </c>
      <c r="O14" s="4">
        <v>35.846153846153847</v>
      </c>
      <c r="R14" s="3" t="s">
        <v>16</v>
      </c>
      <c r="S14" s="4">
        <v>6</v>
      </c>
      <c r="AQ14" s="3" t="s">
        <v>54</v>
      </c>
      <c r="AR14" s="1">
        <v>561</v>
      </c>
      <c r="BG14" s="3" t="s">
        <v>1</v>
      </c>
      <c r="BH14" s="1">
        <v>4878</v>
      </c>
    </row>
    <row r="15" spans="1:62" x14ac:dyDescent="0.35">
      <c r="A15" t="s">
        <v>5</v>
      </c>
      <c r="C15" s="3" t="s">
        <v>17</v>
      </c>
      <c r="D15" s="1">
        <v>16</v>
      </c>
      <c r="N15" s="3" t="s">
        <v>17</v>
      </c>
      <c r="O15" s="4">
        <v>32.625</v>
      </c>
      <c r="R15" s="3" t="s">
        <v>17</v>
      </c>
      <c r="S15" s="4">
        <v>5.2</v>
      </c>
      <c r="AQ15" s="3" t="s">
        <v>1</v>
      </c>
      <c r="AR15" s="1">
        <v>4878</v>
      </c>
    </row>
    <row r="16" spans="1:62" x14ac:dyDescent="0.35">
      <c r="A16" s="4">
        <v>4.9591836734693882</v>
      </c>
      <c r="C16" s="3" t="s">
        <v>18</v>
      </c>
      <c r="D16" s="1">
        <v>20</v>
      </c>
      <c r="N16" s="3" t="s">
        <v>18</v>
      </c>
      <c r="O16" s="4">
        <v>39.200000000000003</v>
      </c>
      <c r="R16" s="3" t="s">
        <v>18</v>
      </c>
      <c r="S16" s="4">
        <v>4.4000000000000004</v>
      </c>
    </row>
    <row r="17" spans="3:80" x14ac:dyDescent="0.35">
      <c r="C17" s="3" t="s">
        <v>19</v>
      </c>
      <c r="D17" s="1">
        <v>25</v>
      </c>
      <c r="N17" s="3" t="s">
        <v>19</v>
      </c>
      <c r="O17" s="4">
        <v>35.28</v>
      </c>
      <c r="R17" s="3" t="s">
        <v>19</v>
      </c>
      <c r="S17" s="4">
        <v>3.4545454545454546</v>
      </c>
    </row>
    <row r="18" spans="3:80" x14ac:dyDescent="0.35">
      <c r="C18" s="3" t="s">
        <v>20</v>
      </c>
      <c r="D18" s="1">
        <v>20</v>
      </c>
      <c r="N18" s="3" t="s">
        <v>20</v>
      </c>
      <c r="O18" s="4">
        <v>32.549999999999997</v>
      </c>
      <c r="R18" s="3" t="s">
        <v>20</v>
      </c>
      <c r="S18" s="4">
        <v>4.4000000000000004</v>
      </c>
      <c r="AG18" s="12" t="s">
        <v>46</v>
      </c>
      <c r="AH18" s="12" t="s">
        <v>44</v>
      </c>
      <c r="AI18" s="12" t="s">
        <v>45</v>
      </c>
      <c r="AJ18" s="13"/>
      <c r="AK18" s="13"/>
      <c r="AL18" s="13"/>
    </row>
    <row r="19" spans="3:80" x14ac:dyDescent="0.35">
      <c r="C19" s="3" t="s">
        <v>21</v>
      </c>
      <c r="D19" s="1">
        <v>14</v>
      </c>
      <c r="N19" s="3" t="s">
        <v>21</v>
      </c>
      <c r="O19" s="4">
        <v>35.642857142857146</v>
      </c>
      <c r="R19" s="3" t="s">
        <v>21</v>
      </c>
      <c r="S19" s="4">
        <v>5.833333333333333</v>
      </c>
      <c r="AG19" s="10" t="str">
        <f>AG9</f>
        <v>Not Admitted</v>
      </c>
      <c r="AH19" s="10">
        <f>AH8</f>
        <v>2455</v>
      </c>
      <c r="AI19" s="11">
        <f>AI8</f>
        <v>0.50328003280032796</v>
      </c>
      <c r="AJ19" s="9"/>
      <c r="AK19" s="9"/>
      <c r="AL19" s="9"/>
      <c r="BO19" s="2" t="s">
        <v>0</v>
      </c>
      <c r="BP19" t="s">
        <v>60</v>
      </c>
      <c r="BR19" s="2" t="s">
        <v>0</v>
      </c>
      <c r="BS19" t="s">
        <v>60</v>
      </c>
      <c r="CA19" s="2" t="s">
        <v>0</v>
      </c>
      <c r="CB19" t="s">
        <v>71</v>
      </c>
    </row>
    <row r="20" spans="3:80" x14ac:dyDescent="0.35">
      <c r="C20" s="3" t="s">
        <v>22</v>
      </c>
      <c r="D20" s="1">
        <v>17</v>
      </c>
      <c r="N20" s="3" t="s">
        <v>22</v>
      </c>
      <c r="O20" s="4">
        <v>38.764705882352942</v>
      </c>
      <c r="R20" s="3" t="s">
        <v>22</v>
      </c>
      <c r="S20" s="4">
        <v>4.4444444444444446</v>
      </c>
      <c r="AG20" s="10" t="str">
        <f>AG10</f>
        <v>Grand Total</v>
      </c>
      <c r="AH20" s="10">
        <f>AH9</f>
        <v>2423</v>
      </c>
      <c r="AI20" s="11">
        <f>AI9</f>
        <v>0.49671996719967199</v>
      </c>
      <c r="AJ20" s="9"/>
      <c r="AK20" s="9"/>
      <c r="AL20" s="9"/>
      <c r="BO20" s="3" t="s">
        <v>58</v>
      </c>
      <c r="BP20" s="1">
        <v>2355</v>
      </c>
      <c r="BR20" s="3" t="s">
        <v>58</v>
      </c>
      <c r="BS20" s="1">
        <v>241</v>
      </c>
      <c r="CA20" s="3" t="s">
        <v>68</v>
      </c>
      <c r="CB20" s="1">
        <v>4</v>
      </c>
    </row>
    <row r="21" spans="3:80" x14ac:dyDescent="0.35">
      <c r="C21" s="3" t="s">
        <v>23</v>
      </c>
      <c r="D21" s="1">
        <v>20</v>
      </c>
      <c r="N21" s="3" t="s">
        <v>23</v>
      </c>
      <c r="O21" s="4">
        <v>39.9</v>
      </c>
      <c r="R21" s="3" t="s">
        <v>23</v>
      </c>
      <c r="S21" s="4">
        <v>5.333333333333333</v>
      </c>
      <c r="BO21" s="3" t="s">
        <v>59</v>
      </c>
      <c r="BP21" s="1">
        <v>2523</v>
      </c>
      <c r="BR21" s="3" t="s">
        <v>59</v>
      </c>
      <c r="BS21" s="1">
        <v>272</v>
      </c>
      <c r="BU21" t="s">
        <v>70</v>
      </c>
      <c r="CA21" s="3" t="s">
        <v>67</v>
      </c>
      <c r="CB21" s="1">
        <v>5</v>
      </c>
    </row>
    <row r="22" spans="3:80" x14ac:dyDescent="0.35">
      <c r="C22" s="3" t="s">
        <v>24</v>
      </c>
      <c r="D22" s="1">
        <v>10</v>
      </c>
      <c r="N22" s="3" t="s">
        <v>24</v>
      </c>
      <c r="O22" s="4">
        <v>41.6</v>
      </c>
      <c r="R22" s="3" t="s">
        <v>24</v>
      </c>
      <c r="S22" s="4">
        <v>5.333333333333333</v>
      </c>
      <c r="BO22" s="3" t="s">
        <v>1</v>
      </c>
      <c r="BP22" s="1">
        <v>4878</v>
      </c>
      <c r="BR22" s="3" t="s">
        <v>1</v>
      </c>
      <c r="BS22" s="1">
        <v>513</v>
      </c>
      <c r="CA22" s="3" t="s">
        <v>69</v>
      </c>
      <c r="CB22" s="1">
        <v>9</v>
      </c>
    </row>
    <row r="23" spans="3:80" x14ac:dyDescent="0.35">
      <c r="C23" s="3" t="s">
        <v>25</v>
      </c>
      <c r="D23" s="1">
        <v>17</v>
      </c>
      <c r="N23" s="3" t="s">
        <v>25</v>
      </c>
      <c r="O23" s="4">
        <v>39.470588235294116</v>
      </c>
      <c r="R23" s="3" t="s">
        <v>25</v>
      </c>
      <c r="S23" s="4">
        <v>5.5714285714285712</v>
      </c>
      <c r="AT23" s="2" t="s">
        <v>0</v>
      </c>
      <c r="AU23" t="s">
        <v>56</v>
      </c>
      <c r="CA23" s="3" t="s">
        <v>65</v>
      </c>
      <c r="CB23" s="1">
        <v>14</v>
      </c>
    </row>
    <row r="24" spans="3:80" x14ac:dyDescent="0.35">
      <c r="C24" s="3" t="s">
        <v>26</v>
      </c>
      <c r="D24" s="1">
        <v>15</v>
      </c>
      <c r="N24" s="3" t="s">
        <v>26</v>
      </c>
      <c r="O24" s="4">
        <v>27.733333333333334</v>
      </c>
      <c r="R24" s="3" t="s">
        <v>26</v>
      </c>
      <c r="S24" s="4">
        <v>5</v>
      </c>
      <c r="AT24" s="3" t="s">
        <v>47</v>
      </c>
      <c r="AU24" s="1">
        <v>76</v>
      </c>
      <c r="CA24" s="3" t="s">
        <v>66</v>
      </c>
      <c r="CB24" s="1">
        <v>14</v>
      </c>
    </row>
    <row r="25" spans="3:80" x14ac:dyDescent="0.35">
      <c r="C25" s="3" t="s">
        <v>27</v>
      </c>
      <c r="D25" s="1">
        <v>16</v>
      </c>
      <c r="N25" s="3" t="s">
        <v>27</v>
      </c>
      <c r="O25" s="4">
        <v>36.875</v>
      </c>
      <c r="R25" s="3" t="s">
        <v>27</v>
      </c>
      <c r="S25" s="4">
        <v>6.4</v>
      </c>
      <c r="AG25" s="2" t="s">
        <v>46</v>
      </c>
      <c r="AH25" s="14" t="s">
        <v>73</v>
      </c>
      <c r="AI25" s="14" t="s">
        <v>74</v>
      </c>
      <c r="AT25" s="3" t="s">
        <v>48</v>
      </c>
      <c r="AU25" s="1">
        <v>69</v>
      </c>
      <c r="BO25" s="2" t="s">
        <v>0</v>
      </c>
      <c r="BP25" t="s">
        <v>61</v>
      </c>
      <c r="CA25" s="3" t="s">
        <v>64</v>
      </c>
      <c r="CB25" s="1">
        <v>65</v>
      </c>
    </row>
    <row r="26" spans="3:80" x14ac:dyDescent="0.35">
      <c r="C26" s="3" t="s">
        <v>28</v>
      </c>
      <c r="D26" s="1">
        <v>18</v>
      </c>
      <c r="N26" s="3" t="s">
        <v>28</v>
      </c>
      <c r="O26" s="4">
        <v>40.333333333333336</v>
      </c>
      <c r="R26" s="3" t="s">
        <v>28</v>
      </c>
      <c r="S26" s="4">
        <v>5.333333333333333</v>
      </c>
      <c r="AG26" s="3" t="s">
        <v>40</v>
      </c>
      <c r="AH26" s="1">
        <v>269</v>
      </c>
      <c r="AI26" s="8">
        <v>0.52436647173489281</v>
      </c>
      <c r="AT26" s="3" t="s">
        <v>49</v>
      </c>
      <c r="AU26" s="1">
        <v>64</v>
      </c>
      <c r="BO26" s="3" t="s">
        <v>38</v>
      </c>
      <c r="BP26" s="8">
        <v>0.61598440545808963</v>
      </c>
      <c r="CA26" s="3" t="s">
        <v>63</v>
      </c>
      <c r="CB26" s="1">
        <v>103</v>
      </c>
    </row>
    <row r="27" spans="3:80" x14ac:dyDescent="0.35">
      <c r="C27" s="3" t="s">
        <v>29</v>
      </c>
      <c r="D27" s="1">
        <v>16</v>
      </c>
      <c r="N27" s="3" t="s">
        <v>29</v>
      </c>
      <c r="O27" s="4">
        <v>36.5</v>
      </c>
      <c r="R27" s="3" t="s">
        <v>29</v>
      </c>
      <c r="S27" s="4">
        <v>3.75</v>
      </c>
      <c r="AG27" s="3" t="s">
        <v>41</v>
      </c>
      <c r="AH27" s="1">
        <v>244</v>
      </c>
      <c r="AI27" s="8">
        <v>0.47563352826510719</v>
      </c>
      <c r="AT27" s="3" t="s">
        <v>50</v>
      </c>
      <c r="AU27" s="1">
        <v>59</v>
      </c>
      <c r="BO27" s="3" t="s">
        <v>39</v>
      </c>
      <c r="BP27" s="8">
        <v>0.38401559454191031</v>
      </c>
      <c r="CA27" s="3" t="s">
        <v>62</v>
      </c>
      <c r="CB27" s="1">
        <v>299</v>
      </c>
    </row>
    <row r="28" spans="3:80" x14ac:dyDescent="0.35">
      <c r="C28" s="3" t="s">
        <v>30</v>
      </c>
      <c r="D28" s="1">
        <v>15</v>
      </c>
      <c r="N28" s="3" t="s">
        <v>30</v>
      </c>
      <c r="O28" s="4">
        <v>32.866666666666667</v>
      </c>
      <c r="R28" s="3" t="s">
        <v>30</v>
      </c>
      <c r="S28" s="4">
        <v>6.333333333333333</v>
      </c>
      <c r="AG28" s="3" t="s">
        <v>1</v>
      </c>
      <c r="AH28" s="1">
        <v>513</v>
      </c>
      <c r="AI28" s="8">
        <v>1</v>
      </c>
      <c r="AT28" s="3" t="s">
        <v>51</v>
      </c>
      <c r="AU28" s="1">
        <v>58</v>
      </c>
      <c r="BO28" s="3" t="s">
        <v>1</v>
      </c>
      <c r="BP28" s="8">
        <v>1</v>
      </c>
      <c r="CA28" s="3" t="s">
        <v>1</v>
      </c>
      <c r="CB28" s="1">
        <v>513</v>
      </c>
    </row>
    <row r="29" spans="3:80" x14ac:dyDescent="0.35">
      <c r="C29" s="3" t="s">
        <v>31</v>
      </c>
      <c r="D29" s="1">
        <v>14</v>
      </c>
      <c r="N29" s="3" t="s">
        <v>31</v>
      </c>
      <c r="O29" s="4">
        <v>36.642857142857146</v>
      </c>
      <c r="R29" s="3" t="s">
        <v>31</v>
      </c>
      <c r="S29" s="4">
        <v>10</v>
      </c>
      <c r="AT29" s="3" t="s">
        <v>52</v>
      </c>
      <c r="AU29" s="1">
        <v>66</v>
      </c>
    </row>
    <row r="30" spans="3:80" x14ac:dyDescent="0.35">
      <c r="C30" s="3" t="s">
        <v>32</v>
      </c>
      <c r="D30" s="1">
        <v>16</v>
      </c>
      <c r="N30" s="3" t="s">
        <v>32</v>
      </c>
      <c r="O30" s="4">
        <v>36.5625</v>
      </c>
      <c r="R30" s="3" t="s">
        <v>32</v>
      </c>
      <c r="S30" s="4">
        <v>5</v>
      </c>
      <c r="AT30" s="3" t="s">
        <v>53</v>
      </c>
      <c r="AU30" s="1">
        <v>67</v>
      </c>
    </row>
    <row r="31" spans="3:80" x14ac:dyDescent="0.35">
      <c r="C31" s="3" t="s">
        <v>33</v>
      </c>
      <c r="D31" s="1">
        <v>20</v>
      </c>
      <c r="N31" s="3" t="s">
        <v>33</v>
      </c>
      <c r="O31" s="4">
        <v>32.15</v>
      </c>
      <c r="R31" s="3" t="s">
        <v>33</v>
      </c>
      <c r="S31" s="4">
        <v>5.333333333333333</v>
      </c>
      <c r="AT31" s="3" t="s">
        <v>54</v>
      </c>
      <c r="AU31" s="1">
        <v>54</v>
      </c>
    </row>
    <row r="32" spans="3:80" x14ac:dyDescent="0.35">
      <c r="C32" s="3" t="s">
        <v>34</v>
      </c>
      <c r="D32" s="1">
        <v>19</v>
      </c>
      <c r="N32" s="3" t="s">
        <v>34</v>
      </c>
      <c r="O32" s="4">
        <v>38.368421052631582</v>
      </c>
      <c r="R32" s="3" t="s">
        <v>34</v>
      </c>
      <c r="S32" s="4">
        <v>4.8</v>
      </c>
      <c r="AT32" s="3" t="s">
        <v>1</v>
      </c>
      <c r="AU32" s="1">
        <v>513</v>
      </c>
    </row>
    <row r="33" spans="3:80" x14ac:dyDescent="0.35">
      <c r="C33" s="3" t="s">
        <v>35</v>
      </c>
      <c r="D33" s="1">
        <v>14</v>
      </c>
      <c r="N33" s="3" t="s">
        <v>35</v>
      </c>
      <c r="O33" s="4">
        <v>33.071428571428569</v>
      </c>
      <c r="R33" s="3" t="s">
        <v>35</v>
      </c>
      <c r="S33" s="4">
        <v>5</v>
      </c>
      <c r="AH33" t="s">
        <v>75</v>
      </c>
    </row>
    <row r="34" spans="3:80" x14ac:dyDescent="0.35">
      <c r="C34" s="3" t="s">
        <v>36</v>
      </c>
      <c r="D34" s="1">
        <v>18</v>
      </c>
      <c r="N34" s="3" t="s">
        <v>36</v>
      </c>
      <c r="O34" s="4">
        <v>36.444444444444443</v>
      </c>
      <c r="R34" s="3" t="s">
        <v>36</v>
      </c>
      <c r="S34" s="4">
        <v>1.4</v>
      </c>
    </row>
    <row r="35" spans="3:80" x14ac:dyDescent="0.35">
      <c r="C35" s="3" t="s">
        <v>1</v>
      </c>
      <c r="D35" s="1">
        <v>513</v>
      </c>
      <c r="N35" s="3" t="s">
        <v>1</v>
      </c>
      <c r="O35" s="1">
        <v>36.323586744639378</v>
      </c>
      <c r="R35" s="3" t="s">
        <v>1</v>
      </c>
      <c r="S35" s="1">
        <v>4.9591836734693882</v>
      </c>
    </row>
    <row r="36" spans="3:80" x14ac:dyDescent="0.35">
      <c r="AG36" s="2" t="s">
        <v>0</v>
      </c>
      <c r="AH36" t="s">
        <v>42</v>
      </c>
      <c r="AI36" t="s">
        <v>43</v>
      </c>
    </row>
    <row r="37" spans="3:80" x14ac:dyDescent="0.35">
      <c r="AG37" s="3" t="s">
        <v>40</v>
      </c>
      <c r="AH37" s="15">
        <v>269</v>
      </c>
      <c r="AI37" s="8">
        <v>0.52436647173489281</v>
      </c>
    </row>
    <row r="38" spans="3:80" x14ac:dyDescent="0.35">
      <c r="AG38" s="3" t="s">
        <v>41</v>
      </c>
      <c r="AH38" s="15">
        <v>244</v>
      </c>
      <c r="AI38" s="8">
        <v>0.47563352826510719</v>
      </c>
    </row>
    <row r="39" spans="3:80" x14ac:dyDescent="0.35">
      <c r="AG39" s="3" t="s">
        <v>1</v>
      </c>
      <c r="AH39" s="4">
        <v>513</v>
      </c>
      <c r="AI39" s="8">
        <v>1</v>
      </c>
    </row>
    <row r="41" spans="3:80" x14ac:dyDescent="0.35">
      <c r="CB41" s="2" t="s">
        <v>0</v>
      </c>
    </row>
    <row r="42" spans="3:80" x14ac:dyDescent="0.35">
      <c r="CB42" s="3" t="s">
        <v>72</v>
      </c>
    </row>
    <row r="43" spans="3:80" x14ac:dyDescent="0.35">
      <c r="CB43" s="3" t="s">
        <v>1</v>
      </c>
    </row>
    <row r="48" spans="3:80" x14ac:dyDescent="0.35">
      <c r="AG48" s="19" t="s">
        <v>46</v>
      </c>
      <c r="AH48" s="19" t="s">
        <v>44</v>
      </c>
      <c r="AI48" s="19" t="s">
        <v>45</v>
      </c>
      <c r="AJ48" s="6"/>
      <c r="AK48" s="6"/>
    </row>
    <row r="49" spans="33:35" x14ac:dyDescent="0.35">
      <c r="AG49" s="16" t="str">
        <f>AG38</f>
        <v>Not Admitted</v>
      </c>
      <c r="AH49" s="17">
        <f>AH38</f>
        <v>244</v>
      </c>
      <c r="AI49" s="18">
        <f t="shared" ref="AI49" si="0">AI38</f>
        <v>0.47563352826510719</v>
      </c>
    </row>
    <row r="50" spans="33:35" x14ac:dyDescent="0.35">
      <c r="AG50" s="16" t="str">
        <f>AG37</f>
        <v>Admitted</v>
      </c>
      <c r="AH50" s="16">
        <f t="shared" ref="AH50:AI50" si="1">AH37</f>
        <v>269</v>
      </c>
      <c r="AI50" s="18">
        <f t="shared" si="1"/>
        <v>0.52436647173489281</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21"/>
  <sheetViews>
    <sheetView workbookViewId="0"/>
  </sheetViews>
  <sheetFormatPr defaultRowHeight="14.5" x14ac:dyDescent="0.35"/>
  <sheetData>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ht="15.5" x14ac:dyDescent="0.35">
      <c r="A20" s="6"/>
      <c r="B20" s="6"/>
      <c r="C20" s="6"/>
      <c r="D20" s="7"/>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72" workbookViewId="0">
      <selection activeCell="E32" sqref="E32"/>
    </sheetView>
  </sheetViews>
  <sheetFormatPr defaultRowHeight="14.5" x14ac:dyDescent="0.35"/>
  <cols>
    <col min="1" max="16384" width="8.7265625" style="5"/>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80985AB-8EDC-44DC-B28D-0165702767DD}">
  <ds:schemaRefs/>
</ds:datastoreItem>
</file>

<file path=customXml/itemProps2.xml><?xml version="1.0" encoding="utf-8"?>
<ds:datastoreItem xmlns:ds="http://schemas.openxmlformats.org/officeDocument/2006/customXml" ds:itemID="{659D1973-ABC5-406C-8EBC-9FB7511C3E74}">
  <ds:schemaRefs/>
</ds:datastoreItem>
</file>

<file path=customXml/itemProps3.xml><?xml version="1.0" encoding="utf-8"?>
<ds:datastoreItem xmlns:ds="http://schemas.openxmlformats.org/officeDocument/2006/customXml" ds:itemID="{2BE19D17-08FD-4DE9-8F40-88F5448D6F69}">
  <ds:schemaRefs/>
</ds:datastoreItem>
</file>

<file path=customXml/itemProps4.xml><?xml version="1.0" encoding="utf-8"?>
<ds:datastoreItem xmlns:ds="http://schemas.openxmlformats.org/officeDocument/2006/customXml" ds:itemID="{D6948EFF-DEBC-44EA-B699-688B9F7B085D}">
  <ds:schemaRefs/>
</ds:datastoreItem>
</file>

<file path=customXml/itemProps5.xml><?xml version="1.0" encoding="utf-8"?>
<ds:datastoreItem xmlns:ds="http://schemas.openxmlformats.org/officeDocument/2006/customXml" ds:itemID="{5F2815BA-5160-4BF2-83C6-1CA527B5E43F}">
  <ds:schemaRefs/>
</ds:datastoreItem>
</file>

<file path=customXml/itemProps6.xml><?xml version="1.0" encoding="utf-8"?>
<ds:datastoreItem xmlns:ds="http://schemas.openxmlformats.org/officeDocument/2006/customXml" ds:itemID="{A33A748A-90D0-4B52-B25F-1F836DF1CFC2}">
  <ds:schemaRefs/>
</ds:datastoreItem>
</file>

<file path=customXml/itemProps7.xml><?xml version="1.0" encoding="utf-8"?>
<ds:datastoreItem xmlns:ds="http://schemas.openxmlformats.org/officeDocument/2006/customXml" ds:itemID="{1699CCED-F327-4FA8-9F0C-E0EB91390D38}">
  <ds:schemaRefs/>
</ds:datastoreItem>
</file>

<file path=customXml/itemProps8.xml><?xml version="1.0" encoding="utf-8"?>
<ds:datastoreItem xmlns:ds="http://schemas.openxmlformats.org/officeDocument/2006/customXml" ds:itemID="{84D4F869-217E-4009-8981-55573F2483B0}">
  <ds:schemaRefs/>
</ds:datastoreItem>
</file>

<file path=customXml/itemProps9.xml><?xml version="1.0" encoding="utf-8"?>
<ds:datastoreItem xmlns:ds="http://schemas.openxmlformats.org/officeDocument/2006/customXml" ds:itemID="{7CA5D9E2-4116-4860-AD86-200E47487D21}">
  <ds:schemaRefs>
    <ds:schemaRef ds:uri="http://schemas.microsoft.com/DataMashup"/>
  </ds:schemaRefs>
</ds:datastoreItem>
</file>

<file path=customXml/itemProps10.xml><?xml version="1.0" encoding="utf-8"?>
<ds:datastoreItem xmlns:ds="http://schemas.openxmlformats.org/officeDocument/2006/customXml" ds:itemID="{2D6F8BF5-6434-42AD-BAFE-3B5B4527D54C}">
  <ds:schemaRefs/>
</ds:datastoreItem>
</file>

<file path=customXml/itemProps11.xml><?xml version="1.0" encoding="utf-8"?>
<ds:datastoreItem xmlns:ds="http://schemas.openxmlformats.org/officeDocument/2006/customXml" ds:itemID="{6AB7C530-0ED5-45C4-9409-EB7F267CDC03}">
  <ds:schemaRefs/>
</ds:datastoreItem>
</file>

<file path=customXml/itemProps12.xml><?xml version="1.0" encoding="utf-8"?>
<ds:datastoreItem xmlns:ds="http://schemas.openxmlformats.org/officeDocument/2006/customXml" ds:itemID="{BE5B7AC9-365F-4A84-84F5-2612FE252CBD}">
  <ds:schemaRefs/>
</ds:datastoreItem>
</file>

<file path=customXml/itemProps13.xml><?xml version="1.0" encoding="utf-8"?>
<ds:datastoreItem xmlns:ds="http://schemas.openxmlformats.org/officeDocument/2006/customXml" ds:itemID="{2500086F-0F99-448D-8006-311D14F78936}">
  <ds:schemaRefs/>
</ds:datastoreItem>
</file>

<file path=customXml/itemProps14.xml><?xml version="1.0" encoding="utf-8"?>
<ds:datastoreItem xmlns:ds="http://schemas.openxmlformats.org/officeDocument/2006/customXml" ds:itemID="{2DC2CA7F-A0F5-4B43-93D1-149AB4D05D95}">
  <ds:schemaRefs/>
</ds:datastoreItem>
</file>

<file path=customXml/itemProps15.xml><?xml version="1.0" encoding="utf-8"?>
<ds:datastoreItem xmlns:ds="http://schemas.openxmlformats.org/officeDocument/2006/customXml" ds:itemID="{50F81AB7-DAA8-4E61-90F5-AE8CEF577524}">
  <ds:schemaRefs/>
</ds:datastoreItem>
</file>

<file path=customXml/itemProps16.xml><?xml version="1.0" encoding="utf-8"?>
<ds:datastoreItem xmlns:ds="http://schemas.openxmlformats.org/officeDocument/2006/customXml" ds:itemID="{8AF99307-135B-4351-9605-B03C9146EF25}">
  <ds:schemaRefs/>
</ds:datastoreItem>
</file>

<file path=customXml/itemProps17.xml><?xml version="1.0" encoding="utf-8"?>
<ds:datastoreItem xmlns:ds="http://schemas.openxmlformats.org/officeDocument/2006/customXml" ds:itemID="{3AD50462-D364-4564-93F5-1FDCE9164780}">
  <ds:schemaRefs/>
</ds:datastoreItem>
</file>

<file path=customXml/itemProps18.xml><?xml version="1.0" encoding="utf-8"?>
<ds:datastoreItem xmlns:ds="http://schemas.openxmlformats.org/officeDocument/2006/customXml" ds:itemID="{2D86A211-7B3D-4C05-9420-067EC81CC3EE}">
  <ds:schemaRefs/>
</ds:datastoreItem>
</file>

<file path=customXml/itemProps19.xml><?xml version="1.0" encoding="utf-8"?>
<ds:datastoreItem xmlns:ds="http://schemas.openxmlformats.org/officeDocument/2006/customXml" ds:itemID="{DA9CAB66-701A-4733-B137-339F726941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Daily ER No of Patients</vt:lpstr>
      <vt:lpstr>Avg Wait Time Daily Trend</vt:lpstr>
      <vt:lpstr>Satisfaction Score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2026-06-29T06:15:54Z</dcterms:created>
  <dcterms:modified xsi:type="dcterms:W3CDTF">2026-08-25T11:58:33Z</dcterms:modified>
</cp:coreProperties>
</file>